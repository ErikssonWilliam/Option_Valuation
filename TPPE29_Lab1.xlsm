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comments4.xml" ContentType="application/vnd.openxmlformats-officedocument.spreadsheetml.comments+xml"/>
  <Override PartName="/xl/threadedComments/threadedComment2.xml" ContentType="application/vnd.ms-excel.threadedcomments+xml"/>
  <Override PartName="/xl/comments5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G:\Min enhet\Industriell Ekonomi\Årskurs 4\TPPE29\tppe29_lab2\"/>
    </mc:Choice>
  </mc:AlternateContent>
  <xr:revisionPtr revIDLastSave="0" documentId="8_{908CAC97-DD3F-4BCC-BC43-33A0038C16D4}" xr6:coauthVersionLast="47" xr6:coauthVersionMax="47" xr10:uidLastSave="{00000000-0000-0000-0000-000000000000}"/>
  <bookViews>
    <workbookView xWindow="-110" yWindow="-110" windowWidth="19420" windowHeight="10300" firstSheet="2" activeTab="5" xr2:uid="{00000000-000D-0000-FFFF-FFFF00000000}"/>
  </bookViews>
  <sheets>
    <sheet name="main" sheetId="2" r:id="rId1"/>
    <sheet name="realTime" sheetId="1" r:id="rId2"/>
    <sheet name="data" sheetId="3" r:id="rId3"/>
    <sheet name="tables" sheetId="4" r:id="rId4"/>
    <sheet name="bill" sheetId="6" r:id="rId5"/>
    <sheet name="bond" sheetId="7" r:id="rId6"/>
    <sheet name="IRS" sheetId="8" r:id="rId7"/>
    <sheet name="bootstrap" sheetId="9" r:id="rId8"/>
  </sheets>
  <functionGroups builtInGroupCount="19"/>
  <definedNames>
    <definedName name="_xleta.DATE" hidden="1" xlm="1">#NAME?</definedName>
    <definedName name="billChain">IF(main!$B$3,OFFSET(data!$H$38,0,0,data!$I$34,1),"")</definedName>
    <definedName name="bondChain">IF(main!$B$3,OFFSET(data!$K$38,0,0,data!$L$34,1),"")</definedName>
    <definedName name="countryList">IF(main!$B$3,OFFSET(tables!$A$2,0,0,COUNTA(tables!$A$2:$A$640),1),"")</definedName>
    <definedName name="discountDate">data!$D$3:$D$129</definedName>
    <definedName name="discountFactor">data!$F$3:$F$129</definedName>
    <definedName name="discountNextDate">data!$E$3:$E$129</definedName>
    <definedName name="nextCouponDate">bond!$B$15</definedName>
    <definedName name="previousCouponDate">bond!$B$14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7" l="1"/>
  <c r="P30" i="8"/>
  <c r="S30" i="8"/>
  <c r="R27" i="8"/>
  <c r="U12" i="8"/>
  <c r="Q7" i="9"/>
  <c r="Q8" i="9" s="1"/>
  <c r="Q6" i="9"/>
  <c r="Y6" i="9"/>
  <c r="Y5" i="9"/>
  <c r="Y7" i="9"/>
  <c r="Y8" i="9" s="1"/>
  <c r="Y9" i="9" s="1"/>
  <c r="Y10" i="9" s="1"/>
  <c r="Y11" i="9" s="1"/>
  <c r="Y4" i="9"/>
  <c r="Q5" i="9"/>
  <c r="R4" i="9"/>
  <c r="R5" i="9"/>
  <c r="Q4" i="9"/>
  <c r="M16" i="9"/>
  <c r="S40" i="8"/>
  <c r="O27" i="8"/>
  <c r="M17" i="9"/>
  <c r="S5" i="9" a="1"/>
  <c r="B30" i="7" a="1"/>
  <c r="B29" i="7" a="1"/>
  <c r="B27" i="7" a="1"/>
  <c r="B24" i="7" a="1"/>
  <c r="B23" i="7" a="1"/>
  <c r="B21" i="7" a="1"/>
  <c r="B21" i="7" l="1"/>
  <c r="B23" i="7"/>
  <c r="B24" i="7"/>
  <c r="B27" i="7"/>
  <c r="B29" i="7"/>
  <c r="B30" i="7"/>
  <c r="Q9" i="9"/>
  <c r="R16" i="9"/>
  <c r="S5" i="9"/>
  <c r="S6" i="9" a="1"/>
  <c r="S6" i="9"/>
  <c r="S7" i="9" a="1"/>
  <c r="S7" i="9"/>
  <c r="S8" i="9" a="1"/>
  <c r="S8" i="9"/>
  <c r="S9" i="9" a="1"/>
  <c r="S9" i="9"/>
  <c r="S10" i="9" a="1"/>
  <c r="S10" i="9"/>
  <c r="S11" i="9" a="1"/>
  <c r="S11" i="9"/>
  <c r="S12" i="9" a="1"/>
  <c r="S12" i="9"/>
  <c r="S4" i="9" a="1"/>
  <c r="Q10" i="9" l="1"/>
  <c r="Q11" i="9" s="1"/>
  <c r="Q12" i="9" s="1"/>
  <c r="S4" i="9"/>
  <c r="R40" i="8"/>
  <c r="S41" i="8" s="1"/>
  <c r="V15" i="8"/>
  <c r="P41" i="8"/>
  <c r="S38" i="8"/>
  <c r="P34" i="8"/>
  <c r="P38" i="8"/>
  <c r="S34" i="8"/>
  <c r="W15" i="8"/>
  <c r="O28" i="8"/>
  <c r="O29" i="8"/>
  <c r="O30" i="8"/>
  <c r="O31" i="8"/>
  <c r="O32" i="8"/>
  <c r="O33" i="8"/>
  <c r="O34" i="8"/>
  <c r="O35" i="8"/>
  <c r="O36" i="8"/>
  <c r="O37" i="8"/>
  <c r="O38" i="8"/>
  <c r="U20" i="8"/>
  <c r="U21" i="8"/>
  <c r="U22" i="8"/>
  <c r="U23" i="8"/>
  <c r="V23" i="8"/>
  <c r="Q23" i="8"/>
  <c r="S23" i="8" s="1"/>
  <c r="Q22" i="8"/>
  <c r="S22" i="8" s="1"/>
  <c r="Q21" i="8"/>
  <c r="S21" i="8" s="1"/>
  <c r="Q20" i="8"/>
  <c r="S20" i="8" s="1"/>
  <c r="T19" i="8"/>
  <c r="Q19" i="8"/>
  <c r="S19" i="8" s="1"/>
  <c r="U19" i="8" s="1"/>
  <c r="Q18" i="8"/>
  <c r="S18" i="8" s="1"/>
  <c r="U18" i="8" s="1"/>
  <c r="Q17" i="8"/>
  <c r="S17" i="8" s="1"/>
  <c r="U17" i="8" s="1"/>
  <c r="Q16" i="8"/>
  <c r="S16" i="8" s="1"/>
  <c r="U16" i="8" s="1"/>
  <c r="T15" i="8"/>
  <c r="Q15" i="8"/>
  <c r="S15" i="8" s="1"/>
  <c r="U15" i="8" s="1"/>
  <c r="Q14" i="8"/>
  <c r="S14" i="8" s="1"/>
  <c r="U14" i="8" s="1"/>
  <c r="R13" i="8"/>
  <c r="Q13" i="8"/>
  <c r="S13" i="8" s="1"/>
  <c r="U13" i="8" s="1"/>
  <c r="Q12" i="8"/>
  <c r="S12" i="8" s="1"/>
  <c r="V19" i="8"/>
  <c r="Q8" i="8"/>
  <c r="Q7" i="8"/>
  <c r="R6" i="8"/>
  <c r="Q6" i="8"/>
  <c r="I2" i="4"/>
  <c r="H2" i="4"/>
  <c r="D3" i="7"/>
  <c r="D2" i="7"/>
  <c r="E2" i="8"/>
  <c r="D2" i="8"/>
  <c r="E3" i="8"/>
  <c r="D3" i="8"/>
  <c r="E4" i="8"/>
  <c r="D4" i="8"/>
  <c r="E5" i="8"/>
  <c r="E6" i="8"/>
  <c r="E7" i="8"/>
  <c r="E8" i="8"/>
  <c r="E9" i="8"/>
  <c r="E10" i="8"/>
  <c r="E11" i="8"/>
  <c r="E12" i="8"/>
  <c r="E19" i="8"/>
  <c r="E20" i="8"/>
  <c r="E21" i="8"/>
  <c r="E22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G3" i="8"/>
  <c r="H3" i="8"/>
  <c r="G4" i="8"/>
  <c r="H4" i="8"/>
  <c r="G5" i="8"/>
  <c r="H5" i="8"/>
  <c r="G6" i="8"/>
  <c r="H6" i="8"/>
  <c r="G7" i="8"/>
  <c r="H7" i="8"/>
  <c r="G8" i="8"/>
  <c r="H8" i="8"/>
  <c r="G9" i="8"/>
  <c r="H9" i="8"/>
  <c r="G14" i="8"/>
  <c r="H14" i="8"/>
  <c r="H15" i="8"/>
  <c r="G16" i="8"/>
  <c r="H16" i="8"/>
  <c r="G17" i="8"/>
  <c r="H17" i="8"/>
  <c r="G18" i="8"/>
  <c r="H18" i="8"/>
  <c r="G19" i="8"/>
  <c r="H19" i="8"/>
  <c r="G20" i="8"/>
  <c r="H20" i="8"/>
  <c r="G21" i="8"/>
  <c r="H21" i="8"/>
  <c r="G22" i="8"/>
  <c r="H22" i="8"/>
  <c r="G23" i="8"/>
  <c r="H23" i="8"/>
  <c r="H26" i="8"/>
  <c r="G27" i="8"/>
  <c r="H27" i="8"/>
  <c r="G28" i="8"/>
  <c r="H28" i="8"/>
  <c r="G29" i="8"/>
  <c r="H29" i="8"/>
  <c r="G30" i="8"/>
  <c r="H30" i="8"/>
  <c r="G31" i="8"/>
  <c r="H31" i="8"/>
  <c r="G32" i="8"/>
  <c r="H32" i="8"/>
  <c r="G33" i="8"/>
  <c r="H33" i="8"/>
  <c r="G34" i="8"/>
  <c r="H34" i="8"/>
  <c r="G35" i="8"/>
  <c r="H35" i="8"/>
  <c r="G36" i="8"/>
  <c r="H36" i="8"/>
  <c r="G40" i="8"/>
  <c r="H40" i="8"/>
  <c r="G41" i="8"/>
  <c r="H41" i="8"/>
  <c r="G42" i="8"/>
  <c r="H42" i="8"/>
  <c r="G43" i="8"/>
  <c r="H43" i="8"/>
  <c r="G44" i="8"/>
  <c r="H44" i="8"/>
  <c r="G45" i="8"/>
  <c r="A501" i="3"/>
  <c r="B501" i="3"/>
  <c r="C501" i="3"/>
  <c r="D501" i="3"/>
  <c r="E501" i="3"/>
  <c r="F501" i="3"/>
  <c r="G501" i="3"/>
  <c r="H501" i="3"/>
  <c r="I501" i="3"/>
  <c r="J501" i="3"/>
  <c r="K501" i="3"/>
  <c r="L501" i="3"/>
  <c r="M501" i="3"/>
  <c r="N501" i="3"/>
  <c r="O501" i="3"/>
  <c r="P501" i="3"/>
  <c r="Q501" i="3"/>
  <c r="R501" i="3"/>
  <c r="S501" i="3"/>
  <c r="T501" i="3"/>
  <c r="U501" i="3"/>
  <c r="V501" i="3"/>
  <c r="W501" i="3"/>
  <c r="X501" i="3"/>
  <c r="Y501" i="3"/>
  <c r="Z501" i="3"/>
  <c r="AA501" i="3"/>
  <c r="AB501" i="3"/>
  <c r="AC501" i="3"/>
  <c r="AD501" i="3"/>
  <c r="AE501" i="3"/>
  <c r="AF501" i="3"/>
  <c r="AG501" i="3"/>
  <c r="AH501" i="3"/>
  <c r="AI501" i="3"/>
  <c r="AJ501" i="3"/>
  <c r="AK501" i="3"/>
  <c r="AL501" i="3"/>
  <c r="AM501" i="3"/>
  <c r="AN501" i="3"/>
  <c r="A502" i="3"/>
  <c r="B502" i="3"/>
  <c r="C502" i="3"/>
  <c r="D502" i="3"/>
  <c r="E502" i="3"/>
  <c r="F502" i="3"/>
  <c r="G502" i="3"/>
  <c r="H502" i="3"/>
  <c r="I502" i="3"/>
  <c r="J502" i="3"/>
  <c r="K502" i="3"/>
  <c r="L502" i="3"/>
  <c r="M502" i="3"/>
  <c r="N502" i="3"/>
  <c r="O502" i="3"/>
  <c r="P502" i="3"/>
  <c r="Q502" i="3"/>
  <c r="R502" i="3"/>
  <c r="S502" i="3"/>
  <c r="T502" i="3"/>
  <c r="U502" i="3"/>
  <c r="V502" i="3"/>
  <c r="W502" i="3"/>
  <c r="X502" i="3"/>
  <c r="Y502" i="3"/>
  <c r="Z502" i="3"/>
  <c r="AA502" i="3"/>
  <c r="AB502" i="3"/>
  <c r="AC502" i="3"/>
  <c r="AD502" i="3"/>
  <c r="AE502" i="3"/>
  <c r="AF502" i="3"/>
  <c r="AG502" i="3"/>
  <c r="AH502" i="3"/>
  <c r="AI502" i="3"/>
  <c r="AJ502" i="3"/>
  <c r="AK502" i="3"/>
  <c r="AL502" i="3"/>
  <c r="AM502" i="3"/>
  <c r="AN502" i="3"/>
  <c r="E13" i="8"/>
  <c r="E14" i="8"/>
  <c r="E15" i="8"/>
  <c r="E16" i="8"/>
  <c r="E17" i="8"/>
  <c r="E18" i="8"/>
  <c r="E39" i="8"/>
  <c r="E40" i="8"/>
  <c r="E41" i="8"/>
  <c r="E42" i="8"/>
  <c r="G2" i="8"/>
  <c r="H2" i="8"/>
  <c r="G10" i="8"/>
  <c r="H10" i="8"/>
  <c r="G11" i="8"/>
  <c r="H11" i="8"/>
  <c r="G13" i="8"/>
  <c r="H13" i="8"/>
  <c r="G24" i="8"/>
  <c r="H24" i="8"/>
  <c r="G25" i="8"/>
  <c r="H25" i="8"/>
  <c r="G26" i="8"/>
  <c r="G37" i="8"/>
  <c r="H37" i="8"/>
  <c r="G38" i="8"/>
  <c r="H38" i="8"/>
  <c r="G39" i="8"/>
  <c r="H39" i="8"/>
  <c r="E23" i="8"/>
  <c r="E24" i="8"/>
  <c r="E25" i="8"/>
  <c r="G12" i="8"/>
  <c r="H12" i="8"/>
  <c r="G15" i="8"/>
  <c r="O12" i="9" a="1"/>
  <c r="O11" i="9" a="1"/>
  <c r="O10" i="9" a="1"/>
  <c r="O9" i="9" a="1"/>
  <c r="O8" i="9" a="1"/>
  <c r="O7" i="9" a="1"/>
  <c r="O6" i="9" a="1"/>
  <c r="O5" i="9" a="1"/>
  <c r="O4" i="9" a="1"/>
  <c r="N12" i="9" a="1"/>
  <c r="N10" i="9" a="1"/>
  <c r="N11" i="9" a="1"/>
  <c r="N9" i="9" a="1"/>
  <c r="N8" i="9" a="1"/>
  <c r="N7" i="9" a="1"/>
  <c r="N6" i="9" a="1"/>
  <c r="N5" i="9" a="1"/>
  <c r="N4" i="9" a="1"/>
  <c r="I4" i="9" a="1"/>
  <c r="I25" i="9" a="1"/>
  <c r="I16" i="9" a="1"/>
  <c r="I7" i="9" a="1"/>
  <c r="I28" i="9" a="1"/>
  <c r="I19" i="9" a="1"/>
  <c r="I10" i="9" a="1"/>
  <c r="I31" i="9" a="1"/>
  <c r="I22" i="9" a="1"/>
  <c r="I13" i="9" a="1"/>
  <c r="X9" i="8" a="1"/>
  <c r="O12" i="9" l="1"/>
  <c r="O11" i="9"/>
  <c r="O10" i="9"/>
  <c r="O9" i="9"/>
  <c r="O8" i="9"/>
  <c r="O7" i="9"/>
  <c r="O6" i="9"/>
  <c r="O5" i="9"/>
  <c r="O4" i="9"/>
  <c r="N12" i="9"/>
  <c r="N10" i="9"/>
  <c r="N11" i="9"/>
  <c r="N9" i="9"/>
  <c r="N8" i="9"/>
  <c r="N7" i="9"/>
  <c r="N6" i="9"/>
  <c r="N5" i="9"/>
  <c r="N4" i="9"/>
  <c r="I4" i="9"/>
  <c r="I13" i="9"/>
  <c r="I22" i="9"/>
  <c r="I31" i="9"/>
  <c r="I10" i="9"/>
  <c r="I19" i="9"/>
  <c r="I28" i="9"/>
  <c r="I7" i="9"/>
  <c r="I16" i="9"/>
  <c r="I25" i="9"/>
  <c r="X9" i="8"/>
  <c r="W23" i="8"/>
  <c r="W19" i="8"/>
  <c r="Q63" i="4"/>
  <c r="Q24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B20" i="2" s="1"/>
  <c r="A127" i="1" s="1"/>
  <c r="Q55" i="4"/>
  <c r="Q56" i="4"/>
  <c r="Q57" i="4"/>
  <c r="Q58" i="4"/>
  <c r="Q59" i="4"/>
  <c r="Q60" i="4"/>
  <c r="Q61" i="4"/>
  <c r="Q62" i="4"/>
  <c r="Q25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" i="4"/>
  <c r="R2" i="1"/>
  <c r="AC18" i="1" a="1"/>
  <c r="D127" i="1"/>
  <c r="AD3" i="1"/>
  <c r="AF18" i="1" a="1"/>
  <c r="S2" i="1"/>
  <c r="C127" i="1"/>
  <c r="F127" i="1"/>
  <c r="P5" i="9" l="1"/>
  <c r="P6" i="9"/>
  <c r="P7" i="9"/>
  <c r="P8" i="9"/>
  <c r="P9" i="9"/>
  <c r="P12" i="9"/>
  <c r="P11" i="9"/>
  <c r="P10" i="9"/>
  <c r="P4" i="9"/>
  <c r="AF18" i="1"/>
  <c r="AC18" i="1"/>
  <c r="A41" i="1"/>
  <c r="A81" i="1"/>
  <c r="A105" i="1"/>
  <c r="A34" i="1"/>
  <c r="A74" i="1"/>
  <c r="A114" i="1"/>
  <c r="A8" i="1"/>
  <c r="A16" i="1"/>
  <c r="A24" i="1"/>
  <c r="A32" i="1"/>
  <c r="A40" i="1"/>
  <c r="A48" i="1"/>
  <c r="A56" i="1"/>
  <c r="A64" i="1"/>
  <c r="A72" i="1"/>
  <c r="A80" i="1"/>
  <c r="A88" i="1"/>
  <c r="A96" i="1"/>
  <c r="A104" i="1"/>
  <c r="A112" i="1"/>
  <c r="A120" i="1"/>
  <c r="A128" i="1"/>
  <c r="A25" i="1"/>
  <c r="A65" i="1"/>
  <c r="A18" i="1"/>
  <c r="A90" i="1"/>
  <c r="A3" i="1"/>
  <c r="A27" i="1"/>
  <c r="A43" i="1"/>
  <c r="A51" i="1"/>
  <c r="A59" i="1"/>
  <c r="A67" i="1"/>
  <c r="A75" i="1"/>
  <c r="A83" i="1"/>
  <c r="A91" i="1"/>
  <c r="A99" i="1"/>
  <c r="A107" i="1"/>
  <c r="A115" i="1"/>
  <c r="A123" i="1"/>
  <c r="A9" i="1"/>
  <c r="A49" i="1"/>
  <c r="A89" i="1"/>
  <c r="A121" i="1"/>
  <c r="A42" i="1"/>
  <c r="A58" i="1"/>
  <c r="A98" i="1"/>
  <c r="A11" i="1"/>
  <c r="A35" i="1"/>
  <c r="A4" i="1"/>
  <c r="A12" i="1"/>
  <c r="A20" i="1"/>
  <c r="A28" i="1"/>
  <c r="A36" i="1"/>
  <c r="A44" i="1"/>
  <c r="A52" i="1"/>
  <c r="A60" i="1"/>
  <c r="A68" i="1"/>
  <c r="A76" i="1"/>
  <c r="A84" i="1"/>
  <c r="A92" i="1"/>
  <c r="A100" i="1"/>
  <c r="A108" i="1"/>
  <c r="A116" i="1"/>
  <c r="A124" i="1"/>
  <c r="A5" i="1"/>
  <c r="A13" i="1"/>
  <c r="A21" i="1"/>
  <c r="A29" i="1"/>
  <c r="A37" i="1"/>
  <c r="A45" i="1"/>
  <c r="A53" i="1"/>
  <c r="A61" i="1"/>
  <c r="A69" i="1"/>
  <c r="A77" i="1"/>
  <c r="A85" i="1"/>
  <c r="A93" i="1"/>
  <c r="A101" i="1"/>
  <c r="A109" i="1"/>
  <c r="A117" i="1"/>
  <c r="A125" i="1"/>
  <c r="A33" i="1"/>
  <c r="A73" i="1"/>
  <c r="A113" i="1"/>
  <c r="A26" i="1"/>
  <c r="A66" i="1"/>
  <c r="A106" i="1"/>
  <c r="A19" i="1"/>
  <c r="A6" i="1"/>
  <c r="A14" i="1"/>
  <c r="A22" i="1"/>
  <c r="A30" i="1"/>
  <c r="A38" i="1"/>
  <c r="A46" i="1"/>
  <c r="A54" i="1"/>
  <c r="A62" i="1"/>
  <c r="A70" i="1"/>
  <c r="A78" i="1"/>
  <c r="A86" i="1"/>
  <c r="A94" i="1"/>
  <c r="A102" i="1"/>
  <c r="A110" i="1"/>
  <c r="A118" i="1"/>
  <c r="A126" i="1"/>
  <c r="A17" i="1"/>
  <c r="A57" i="1"/>
  <c r="A97" i="1"/>
  <c r="A129" i="1"/>
  <c r="A10" i="1"/>
  <c r="A50" i="1"/>
  <c r="A82" i="1"/>
  <c r="A122" i="1"/>
  <c r="A7" i="1"/>
  <c r="A15" i="1"/>
  <c r="A23" i="1"/>
  <c r="A31" i="1"/>
  <c r="A39" i="1"/>
  <c r="A47" i="1"/>
  <c r="A55" i="1"/>
  <c r="A63" i="1"/>
  <c r="A71" i="1"/>
  <c r="A79" i="1"/>
  <c r="A87" i="1"/>
  <c r="A95" i="1"/>
  <c r="A103" i="1"/>
  <c r="A111" i="1"/>
  <c r="A119" i="1"/>
  <c r="P10" i="1"/>
  <c r="D102" i="7"/>
  <c r="D107" i="1"/>
  <c r="F74" i="1"/>
  <c r="F20" i="1"/>
  <c r="C97" i="1"/>
  <c r="F87" i="1"/>
  <c r="D33" i="1"/>
  <c r="C37" i="1"/>
  <c r="F125" i="1"/>
  <c r="C119" i="1"/>
  <c r="F34" i="1"/>
  <c r="F43" i="1"/>
  <c r="C53" i="1"/>
  <c r="F58" i="1"/>
  <c r="D69" i="1"/>
  <c r="C103" i="1"/>
  <c r="C29" i="1"/>
  <c r="F67" i="1"/>
  <c r="D80" i="1"/>
  <c r="D40" i="1"/>
  <c r="D116" i="1"/>
  <c r="C44" i="1"/>
  <c r="C48" i="1"/>
  <c r="F96" i="1"/>
  <c r="C110" i="1"/>
  <c r="C20" i="1"/>
  <c r="F9" i="1"/>
  <c r="F123" i="1"/>
  <c r="D19" i="1"/>
  <c r="F63" i="1"/>
  <c r="F70" i="1"/>
  <c r="F117" i="1"/>
  <c r="F106" i="1"/>
  <c r="D128" i="1"/>
  <c r="F35" i="1"/>
  <c r="D41" i="1"/>
  <c r="F64" i="1"/>
  <c r="D125" i="1"/>
  <c r="C99" i="1"/>
  <c r="C73" i="1"/>
  <c r="D100" i="1"/>
  <c r="D71" i="1"/>
  <c r="D12" i="1"/>
  <c r="D17" i="1"/>
  <c r="F71" i="1"/>
  <c r="F33" i="1"/>
  <c r="D97" i="1"/>
  <c r="C100" i="1"/>
  <c r="D88" i="1"/>
  <c r="F17" i="1"/>
  <c r="D117" i="1"/>
  <c r="D92" i="1"/>
  <c r="C75" i="1"/>
  <c r="D108" i="1"/>
  <c r="D54" i="1"/>
  <c r="F84" i="1"/>
  <c r="D120" i="1"/>
  <c r="F78" i="1"/>
  <c r="C105" i="1"/>
  <c r="F49" i="1"/>
  <c r="C40" i="1"/>
  <c r="D75" i="1"/>
  <c r="F36" i="1"/>
  <c r="D129" i="1"/>
  <c r="F116" i="1"/>
  <c r="C11" i="1"/>
  <c r="D47" i="1"/>
  <c r="D55" i="1"/>
  <c r="D96" i="1"/>
  <c r="F59" i="1"/>
  <c r="F52" i="1"/>
  <c r="F121" i="1"/>
  <c r="D18" i="1"/>
  <c r="D9" i="1"/>
  <c r="F114" i="1"/>
  <c r="D70" i="1"/>
  <c r="D77" i="1"/>
  <c r="C95" i="1"/>
  <c r="C14" i="1"/>
  <c r="D10" i="1"/>
  <c r="C81" i="1"/>
  <c r="F104" i="1"/>
  <c r="F85" i="1"/>
  <c r="F15" i="1"/>
  <c r="F73" i="1"/>
  <c r="D24" i="1"/>
  <c r="D119" i="1"/>
  <c r="C107" i="1"/>
  <c r="C116" i="1"/>
  <c r="D7" i="1"/>
  <c r="F7" i="1"/>
  <c r="D82" i="1"/>
  <c r="D118" i="1"/>
  <c r="C124" i="1"/>
  <c r="C94" i="1"/>
  <c r="C24" i="1"/>
  <c r="F128" i="1"/>
  <c r="F107" i="1"/>
  <c r="C16" i="1"/>
  <c r="F38" i="1"/>
  <c r="C34" i="1"/>
  <c r="D20" i="1"/>
  <c r="F118" i="1"/>
  <c r="F105" i="1"/>
  <c r="D36" i="1"/>
  <c r="C79" i="1"/>
  <c r="F100" i="1"/>
  <c r="C30" i="1"/>
  <c r="F124" i="1"/>
  <c r="F98" i="1"/>
  <c r="F109" i="1"/>
  <c r="C77" i="1"/>
  <c r="D61" i="1"/>
  <c r="C84" i="1"/>
  <c r="C114" i="1"/>
  <c r="C98" i="1"/>
  <c r="C87" i="1"/>
  <c r="D15" i="1"/>
  <c r="C76" i="1"/>
  <c r="C88" i="1"/>
  <c r="C47" i="1"/>
  <c r="D59" i="1"/>
  <c r="D29" i="1"/>
  <c r="C120" i="1"/>
  <c r="F23" i="1"/>
  <c r="C106" i="1"/>
  <c r="C96" i="1"/>
  <c r="F3" i="1"/>
  <c r="D98" i="1"/>
  <c r="F32" i="1"/>
  <c r="F112" i="1"/>
  <c r="C89" i="1"/>
  <c r="C102" i="1"/>
  <c r="F77" i="1"/>
  <c r="F62" i="1"/>
  <c r="F16" i="1"/>
  <c r="D38" i="1"/>
  <c r="F89" i="1"/>
  <c r="C74" i="1"/>
  <c r="F81" i="1"/>
  <c r="F48" i="1"/>
  <c r="D121" i="1"/>
  <c r="F103" i="1"/>
  <c r="D112" i="1"/>
  <c r="D102" i="1"/>
  <c r="D43" i="1"/>
  <c r="D90" i="1"/>
  <c r="C66" i="1"/>
  <c r="D63" i="1"/>
  <c r="D67" i="1"/>
  <c r="C45" i="1"/>
  <c r="D74" i="1"/>
  <c r="C121" i="1"/>
  <c r="C9" i="1"/>
  <c r="F4" i="1"/>
  <c r="F40" i="1"/>
  <c r="D14" i="1"/>
  <c r="D6" i="1"/>
  <c r="D78" i="1"/>
  <c r="C91" i="1"/>
  <c r="C86" i="1"/>
  <c r="C31" i="1"/>
  <c r="F91" i="1"/>
  <c r="F53" i="1"/>
  <c r="C112" i="1"/>
  <c r="C71" i="1"/>
  <c r="F28" i="1"/>
  <c r="D62" i="1"/>
  <c r="F57" i="1"/>
  <c r="F65" i="1"/>
  <c r="F13" i="1"/>
  <c r="D22" i="1"/>
  <c r="C54" i="1"/>
  <c r="D94" i="1"/>
  <c r="F55" i="1"/>
  <c r="F90" i="1"/>
  <c r="F19" i="1"/>
  <c r="C129" i="1"/>
  <c r="C118" i="1"/>
  <c r="C67" i="1"/>
  <c r="C109" i="1"/>
  <c r="D114" i="1"/>
  <c r="F79" i="1"/>
  <c r="F14" i="1"/>
  <c r="D86" i="1"/>
  <c r="F54" i="1"/>
  <c r="C61" i="1"/>
  <c r="F86" i="1"/>
  <c r="F21" i="1"/>
  <c r="D104" i="1"/>
  <c r="D5" i="1"/>
  <c r="F56" i="1"/>
  <c r="D3" i="1"/>
  <c r="C10" i="1"/>
  <c r="C43" i="1"/>
  <c r="C70" i="1"/>
  <c r="D27" i="1"/>
  <c r="D106" i="1"/>
  <c r="D91" i="1"/>
  <c r="C62" i="1"/>
  <c r="D37" i="1"/>
  <c r="C41" i="1"/>
  <c r="F115" i="1"/>
  <c r="D4" i="1"/>
  <c r="D48" i="1"/>
  <c r="C83" i="1"/>
  <c r="C46" i="1"/>
  <c r="F27" i="1"/>
  <c r="D111" i="1"/>
  <c r="C128" i="1"/>
  <c r="D44" i="1"/>
  <c r="C72" i="1"/>
  <c r="F88" i="1"/>
  <c r="D53" i="1"/>
  <c r="D81" i="1"/>
  <c r="F129" i="1"/>
  <c r="C125" i="1"/>
  <c r="D52" i="1"/>
  <c r="D34" i="1"/>
  <c r="F122" i="1"/>
  <c r="D65" i="1"/>
  <c r="D115" i="1"/>
  <c r="D110" i="1"/>
  <c r="F22" i="1"/>
  <c r="C23" i="1"/>
  <c r="D126" i="1"/>
  <c r="F66" i="1"/>
  <c r="F99" i="1"/>
  <c r="D57" i="1"/>
  <c r="D32" i="1"/>
  <c r="C85" i="1"/>
  <c r="C92" i="1"/>
  <c r="C8" i="1"/>
  <c r="C80" i="1"/>
  <c r="F50" i="1"/>
  <c r="C104" i="1"/>
  <c r="F24" i="1"/>
  <c r="C3" i="1"/>
  <c r="D26" i="1"/>
  <c r="C65" i="1"/>
  <c r="D49" i="1"/>
  <c r="F83" i="1"/>
  <c r="C93" i="1"/>
  <c r="D11" i="1"/>
  <c r="D56" i="1"/>
  <c r="C117" i="1"/>
  <c r="C78" i="1"/>
  <c r="D122" i="1"/>
  <c r="D46" i="1"/>
  <c r="C123" i="1"/>
  <c r="C59" i="1"/>
  <c r="F68" i="1"/>
  <c r="F5" i="1"/>
  <c r="F92" i="1"/>
  <c r="C111" i="1"/>
  <c r="F126" i="1"/>
  <c r="C60" i="1"/>
  <c r="F25" i="1"/>
  <c r="F110" i="1"/>
  <c r="C26" i="1"/>
  <c r="F30" i="1"/>
  <c r="F97" i="1"/>
  <c r="D60" i="1"/>
  <c r="D50" i="1"/>
  <c r="D30" i="1"/>
  <c r="F113" i="1"/>
  <c r="F12" i="1"/>
  <c r="F37" i="1"/>
  <c r="D35" i="1"/>
  <c r="D39" i="1"/>
  <c r="C15" i="1"/>
  <c r="F45" i="1"/>
  <c r="D73" i="1"/>
  <c r="F6" i="1"/>
  <c r="F29" i="1"/>
  <c r="C64" i="1"/>
  <c r="C115" i="1"/>
  <c r="C5" i="1"/>
  <c r="D16" i="1"/>
  <c r="D45" i="1"/>
  <c r="D123" i="1"/>
  <c r="F18" i="1"/>
  <c r="C4" i="1"/>
  <c r="D83" i="1"/>
  <c r="C19" i="1"/>
  <c r="C38" i="1"/>
  <c r="F10" i="1"/>
  <c r="F47" i="1"/>
  <c r="F44" i="1"/>
  <c r="F95" i="1"/>
  <c r="C33" i="1"/>
  <c r="C36" i="1"/>
  <c r="F102" i="1"/>
  <c r="D113" i="1"/>
  <c r="C13" i="1"/>
  <c r="F31" i="1"/>
  <c r="D42" i="1"/>
  <c r="D105" i="1"/>
  <c r="C52" i="1"/>
  <c r="C90" i="1"/>
  <c r="D103" i="1"/>
  <c r="D99" i="1"/>
  <c r="D25" i="1"/>
  <c r="F82" i="1"/>
  <c r="F41" i="1"/>
  <c r="C28" i="1"/>
  <c r="C50" i="1"/>
  <c r="D28" i="1"/>
  <c r="D76" i="1"/>
  <c r="F42" i="1"/>
  <c r="F46" i="1"/>
  <c r="D84" i="1"/>
  <c r="F60" i="1"/>
  <c r="D8" i="1"/>
  <c r="C12" i="1"/>
  <c r="F111" i="1"/>
  <c r="F119" i="1"/>
  <c r="D85" i="1"/>
  <c r="D51" i="1"/>
  <c r="C27" i="1"/>
  <c r="F101" i="1"/>
  <c r="C122" i="1"/>
  <c r="C21" i="1"/>
  <c r="D87" i="1"/>
  <c r="D95" i="1"/>
  <c r="F108" i="1"/>
  <c r="F69" i="1"/>
  <c r="D23" i="1"/>
  <c r="D89" i="1"/>
  <c r="F93" i="1"/>
  <c r="C25" i="1"/>
  <c r="D13" i="1"/>
  <c r="D124" i="1"/>
  <c r="C68" i="1"/>
  <c r="D93" i="1"/>
  <c r="F51" i="1"/>
  <c r="F26" i="1"/>
  <c r="C18" i="1"/>
  <c r="C57" i="1"/>
  <c r="C6" i="1"/>
  <c r="C22" i="1"/>
  <c r="C56" i="1"/>
  <c r="F8" i="1"/>
  <c r="F75" i="1"/>
  <c r="C58" i="1"/>
  <c r="C17" i="1"/>
  <c r="D21" i="1"/>
  <c r="D31" i="1"/>
  <c r="F120" i="1"/>
  <c r="D101" i="1"/>
  <c r="F11" i="1"/>
  <c r="C7" i="1"/>
  <c r="C63" i="1"/>
  <c r="C39" i="1"/>
  <c r="D72" i="1"/>
  <c r="C69" i="1"/>
  <c r="C108" i="1"/>
  <c r="C55" i="1"/>
  <c r="C35" i="1"/>
  <c r="D109" i="1"/>
  <c r="C113" i="1"/>
  <c r="D58" i="1"/>
  <c r="C101" i="1"/>
  <c r="F72" i="1"/>
  <c r="C42" i="1"/>
  <c r="F94" i="1"/>
  <c r="C32" i="1"/>
  <c r="D79" i="1"/>
  <c r="C49" i="1"/>
  <c r="D64" i="1"/>
  <c r="C82" i="1"/>
  <c r="D66" i="1"/>
  <c r="D68" i="1"/>
  <c r="F39" i="1"/>
  <c r="C51" i="1"/>
  <c r="F61" i="1"/>
  <c r="F80" i="1"/>
  <c r="F76" i="1"/>
  <c r="C126" i="1"/>
  <c r="H62" i="4" l="1"/>
  <c r="H61" i="4"/>
  <c r="H59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4" i="4"/>
  <c r="H33" i="4"/>
  <c r="H32" i="4"/>
  <c r="H30" i="4"/>
  <c r="H29" i="4"/>
  <c r="H28" i="4"/>
  <c r="H26" i="4"/>
  <c r="H25" i="4"/>
  <c r="H24" i="4"/>
  <c r="H22" i="4"/>
  <c r="H21" i="4"/>
  <c r="H20" i="4"/>
  <c r="H19" i="4"/>
  <c r="H18" i="4"/>
  <c r="H17" i="4"/>
  <c r="H15" i="4"/>
  <c r="H14" i="4"/>
  <c r="H13" i="4"/>
  <c r="H11" i="4"/>
  <c r="H10" i="4"/>
  <c r="H9" i="4"/>
  <c r="H8" i="4"/>
  <c r="H6" i="4"/>
  <c r="H5" i="4"/>
  <c r="H4" i="4"/>
  <c r="H3" i="4"/>
  <c r="T4" i="9" l="1"/>
  <c r="T5" i="9"/>
  <c r="AC2" i="4"/>
  <c r="AB2" i="4"/>
  <c r="AA2" i="4"/>
  <c r="R6" i="9" l="1"/>
  <c r="M18" i="9" s="1"/>
  <c r="R17" i="9" s="1"/>
  <c r="I13" i="4"/>
  <c r="G13" i="4"/>
  <c r="I12" i="4"/>
  <c r="T6" i="9" l="1"/>
  <c r="R9" i="9"/>
  <c r="R8" i="9"/>
  <c r="R7" i="9"/>
  <c r="K32" i="8"/>
  <c r="K33" i="8"/>
  <c r="K34" i="8"/>
  <c r="K35" i="8"/>
  <c r="K36" i="8"/>
  <c r="K37" i="8"/>
  <c r="K38" i="8"/>
  <c r="K39" i="8"/>
  <c r="K40" i="8"/>
  <c r="K41" i="8"/>
  <c r="J32" i="8"/>
  <c r="J33" i="8"/>
  <c r="J34" i="8"/>
  <c r="J35" i="8"/>
  <c r="J36" i="8"/>
  <c r="J37" i="8"/>
  <c r="J38" i="8"/>
  <c r="J39" i="8"/>
  <c r="J40" i="8"/>
  <c r="J41" i="8"/>
  <c r="J2" i="8"/>
  <c r="K2" i="8"/>
  <c r="J3" i="8"/>
  <c r="K3" i="8"/>
  <c r="J4" i="8"/>
  <c r="K4" i="8"/>
  <c r="J5" i="8"/>
  <c r="K5" i="8"/>
  <c r="J6" i="8"/>
  <c r="K6" i="8"/>
  <c r="J7" i="8"/>
  <c r="K7" i="8"/>
  <c r="J8" i="8"/>
  <c r="K8" i="8"/>
  <c r="J9" i="8"/>
  <c r="K9" i="8"/>
  <c r="J10" i="8"/>
  <c r="K10" i="8"/>
  <c r="J11" i="8"/>
  <c r="K11" i="8"/>
  <c r="J12" i="8"/>
  <c r="K12" i="8"/>
  <c r="J13" i="8"/>
  <c r="K13" i="8"/>
  <c r="J14" i="8"/>
  <c r="K14" i="8"/>
  <c r="J15" i="8"/>
  <c r="K15" i="8"/>
  <c r="J16" i="8"/>
  <c r="K16" i="8"/>
  <c r="J17" i="8"/>
  <c r="K17" i="8"/>
  <c r="J18" i="8"/>
  <c r="K18" i="8"/>
  <c r="J19" i="8"/>
  <c r="K19" i="8"/>
  <c r="J20" i="8"/>
  <c r="K20" i="8"/>
  <c r="J21" i="8"/>
  <c r="K21" i="8"/>
  <c r="J22" i="8"/>
  <c r="K22" i="8"/>
  <c r="J23" i="8"/>
  <c r="K23" i="8"/>
  <c r="J24" i="8"/>
  <c r="K24" i="8"/>
  <c r="J25" i="8"/>
  <c r="K25" i="8"/>
  <c r="J26" i="8"/>
  <c r="K26" i="8"/>
  <c r="J27" i="8"/>
  <c r="K27" i="8"/>
  <c r="J28" i="8"/>
  <c r="K28" i="8"/>
  <c r="J29" i="8"/>
  <c r="K29" i="8"/>
  <c r="J30" i="8"/>
  <c r="K30" i="8"/>
  <c r="J31" i="8"/>
  <c r="K31" i="8"/>
  <c r="T8" i="9" l="1"/>
  <c r="M20" i="9"/>
  <c r="T7" i="9"/>
  <c r="M19" i="9"/>
  <c r="R18" i="9" s="1"/>
  <c r="T9" i="9"/>
  <c r="M21" i="9"/>
  <c r="R10" i="9"/>
  <c r="C334" i="8"/>
  <c r="C333" i="8"/>
  <c r="C332" i="8"/>
  <c r="C331" i="8"/>
  <c r="C330" i="8"/>
  <c r="C329" i="8"/>
  <c r="C328" i="8"/>
  <c r="C327" i="8"/>
  <c r="C326" i="8"/>
  <c r="C325" i="8"/>
  <c r="C324" i="8"/>
  <c r="C323" i="8"/>
  <c r="C322" i="8"/>
  <c r="C321" i="8"/>
  <c r="C320" i="8"/>
  <c r="C319" i="8"/>
  <c r="C318" i="8"/>
  <c r="C317" i="8"/>
  <c r="C316" i="8"/>
  <c r="C315" i="8"/>
  <c r="C314" i="8"/>
  <c r="C313" i="8"/>
  <c r="C312" i="8"/>
  <c r="C311" i="8"/>
  <c r="C310" i="8"/>
  <c r="C309" i="8"/>
  <c r="C308" i="8"/>
  <c r="C307" i="8"/>
  <c r="C306" i="8"/>
  <c r="C305" i="8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R20" i="9" l="1"/>
  <c r="R19" i="9"/>
  <c r="T10" i="9"/>
  <c r="M22" i="9"/>
  <c r="R21" i="9" s="1"/>
  <c r="R11" i="9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T11" i="9" l="1"/>
  <c r="M23" i="9"/>
  <c r="R22" i="9" s="1"/>
  <c r="R12" i="9"/>
  <c r="M24" i="9" s="1"/>
  <c r="P4" i="1"/>
  <c r="P5" i="1" a="1"/>
  <c r="T12" i="9" l="1"/>
  <c r="R23" i="9"/>
  <c r="R24" i="9"/>
  <c r="P5" i="1"/>
  <c r="B5" i="8"/>
  <c r="P12" i="1"/>
  <c r="AC64" i="4"/>
  <c r="AC14" i="4"/>
  <c r="AC23" i="4"/>
  <c r="AC32" i="4"/>
  <c r="AC49" i="4"/>
  <c r="AC58" i="4"/>
  <c r="AC4" i="4"/>
  <c r="AC40" i="4"/>
  <c r="AC21" i="4"/>
  <c r="AC31" i="4"/>
  <c r="AC11" i="4"/>
  <c r="AC29" i="4"/>
  <c r="AC39" i="4"/>
  <c r="AC19" i="4"/>
  <c r="AC54" i="4"/>
  <c r="AC44" i="4"/>
  <c r="AC8" i="4"/>
  <c r="AC60" i="4"/>
  <c r="AC66" i="4"/>
  <c r="AC22" i="4"/>
  <c r="AC48" i="4"/>
  <c r="AC46" i="4"/>
  <c r="AC65" i="4"/>
  <c r="AC56" i="4"/>
  <c r="AC20" i="4"/>
  <c r="AC55" i="4"/>
  <c r="AC26" i="4"/>
  <c r="AC36" i="4"/>
  <c r="AC25" i="4"/>
  <c r="AC67" i="4"/>
  <c r="AC37" i="4"/>
  <c r="AC38" i="4"/>
  <c r="AC47" i="4"/>
  <c r="AC9" i="4"/>
  <c r="AC18" i="4"/>
  <c r="AC27" i="4"/>
  <c r="AC28" i="4"/>
  <c r="AC3" i="4"/>
  <c r="AC17" i="4"/>
  <c r="AC53" i="4"/>
  <c r="AC34" i="4"/>
  <c r="AC52" i="4"/>
  <c r="AC61" i="4"/>
  <c r="AC7" i="4"/>
  <c r="AC16" i="4"/>
  <c r="AC33" i="4"/>
  <c r="AC42" i="4"/>
  <c r="AC51" i="4"/>
  <c r="AC63" i="4"/>
  <c r="AC5" i="4"/>
  <c r="AC6" i="4"/>
  <c r="AC15" i="4"/>
  <c r="AC24" i="4"/>
  <c r="AC41" i="4"/>
  <c r="AC50" i="4"/>
  <c r="AC59" i="4"/>
  <c r="AC57" i="4"/>
  <c r="AC30" i="4"/>
  <c r="AC10" i="4"/>
  <c r="AC45" i="4"/>
  <c r="AC35" i="4"/>
  <c r="AC62" i="4"/>
  <c r="AC43" i="4"/>
  <c r="AC13" i="4"/>
  <c r="AC12" i="4"/>
  <c r="AB56" i="4"/>
  <c r="AB23" i="4"/>
  <c r="AB41" i="4"/>
  <c r="AA10" i="4"/>
  <c r="AB6" i="4"/>
  <c r="AA54" i="4"/>
  <c r="AB45" i="4"/>
  <c r="AB17" i="4"/>
  <c r="AB58" i="4"/>
  <c r="AB42" i="4"/>
  <c r="AA26" i="4"/>
  <c r="AB62" i="4"/>
  <c r="AB47" i="4"/>
  <c r="AA27" i="4"/>
  <c r="AB37" i="4"/>
  <c r="AB13" i="4"/>
  <c r="AB11" i="4"/>
  <c r="AA36" i="4"/>
  <c r="AA14" i="4"/>
  <c r="AA3" i="4"/>
  <c r="AB29" i="4"/>
  <c r="AB36" i="4"/>
  <c r="AA21" i="4"/>
  <c r="AB4" i="4"/>
  <c r="AB9" i="4"/>
  <c r="AA45" i="4"/>
  <c r="AB53" i="4"/>
  <c r="AB46" i="4"/>
  <c r="AB7" i="4"/>
  <c r="AA48" i="4"/>
  <c r="AB30" i="4"/>
  <c r="AA32" i="4"/>
  <c r="AA29" i="4"/>
  <c r="AA58" i="4"/>
  <c r="AB43" i="4"/>
  <c r="AB27" i="4"/>
  <c r="AA12" i="4"/>
  <c r="AB21" i="4"/>
  <c r="AA13" i="4"/>
  <c r="AB34" i="4"/>
  <c r="AB5" i="4"/>
  <c r="AA63" i="4"/>
  <c r="AA7" i="4"/>
  <c r="AA16" i="4"/>
  <c r="AA18" i="4"/>
  <c r="AB33" i="4"/>
  <c r="AB57" i="4"/>
  <c r="AB44" i="4"/>
  <c r="AA25" i="4"/>
  <c r="AA39" i="4"/>
  <c r="AB35" i="4"/>
  <c r="AB20" i="4"/>
  <c r="AA50" i="4"/>
  <c r="AA56" i="4"/>
  <c r="AA11" i="4"/>
  <c r="AA35" i="4"/>
  <c r="AB26" i="4"/>
  <c r="AA5" i="4"/>
  <c r="AA41" i="4"/>
  <c r="AB19" i="4"/>
  <c r="AB10" i="4"/>
  <c r="AA37" i="4"/>
  <c r="AB12" i="4"/>
  <c r="AB52" i="4"/>
  <c r="AB54" i="4"/>
  <c r="AB49" i="4"/>
  <c r="AB8" i="4"/>
  <c r="AB48" i="4"/>
  <c r="AA24" i="4"/>
  <c r="AB32" i="4"/>
  <c r="AA9" i="4"/>
  <c r="AA19" i="4"/>
  <c r="AB3" i="4"/>
  <c r="AA22" i="4"/>
  <c r="AB18" i="4"/>
  <c r="AA23" i="4"/>
  <c r="AA47" i="4"/>
  <c r="AA60" i="4"/>
  <c r="AA17" i="4"/>
  <c r="AB28" i="4"/>
  <c r="AA28" i="4"/>
  <c r="AA30" i="4"/>
  <c r="AB60" i="4"/>
  <c r="AA61" i="4"/>
  <c r="AA38" i="4"/>
  <c r="AB24" i="4"/>
  <c r="AA43" i="4"/>
  <c r="AB16" i="4"/>
  <c r="AB15" i="4"/>
  <c r="AA51" i="4"/>
  <c r="AA52" i="4"/>
  <c r="AB59" i="4"/>
  <c r="AB22" i="4"/>
  <c r="AA8" i="4"/>
  <c r="AB61" i="4"/>
  <c r="AB50" i="4"/>
  <c r="AB31" i="4"/>
  <c r="AB39" i="4"/>
  <c r="AB55" i="4"/>
  <c r="AB51" i="4"/>
  <c r="AA20" i="4"/>
  <c r="AA57" i="4"/>
  <c r="AB25" i="4"/>
  <c r="AA55" i="4"/>
  <c r="AA62" i="4"/>
  <c r="AB38" i="4"/>
  <c r="AA44" i="4"/>
  <c r="AA31" i="4"/>
  <c r="AB14" i="4"/>
  <c r="AB63" i="4"/>
  <c r="B11" i="8" l="1"/>
  <c r="B14" i="8" s="1"/>
  <c r="B15" i="8" s="1"/>
  <c r="AB40" i="4"/>
  <c r="I3" i="4" l="1"/>
  <c r="I5" i="4"/>
  <c r="I7" i="4"/>
  <c r="I8" i="4"/>
  <c r="I10" i="4"/>
  <c r="I14" i="4"/>
  <c r="I16" i="4"/>
  <c r="I17" i="4"/>
  <c r="I18" i="4"/>
  <c r="I19" i="4"/>
  <c r="I20" i="4"/>
  <c r="I21" i="4"/>
  <c r="I23" i="4"/>
  <c r="I24" i="4"/>
  <c r="I25" i="4"/>
  <c r="I26" i="4"/>
  <c r="I27" i="4"/>
  <c r="I28" i="4"/>
  <c r="I29" i="4"/>
  <c r="I30" i="4"/>
  <c r="I31" i="4"/>
  <c r="I32" i="4"/>
  <c r="I35" i="4"/>
  <c r="I36" i="4"/>
  <c r="I38" i="4"/>
  <c r="I39" i="4"/>
  <c r="I40" i="4"/>
  <c r="I41" i="4"/>
  <c r="I43" i="4"/>
  <c r="I44" i="4"/>
  <c r="I45" i="4"/>
  <c r="I46" i="4"/>
  <c r="I47" i="4"/>
  <c r="I48" i="4"/>
  <c r="I50" i="4"/>
  <c r="I51" i="4"/>
  <c r="I52" i="4"/>
  <c r="I54" i="4"/>
  <c r="B9" i="8" s="1"/>
  <c r="I55" i="4"/>
  <c r="I56" i="4"/>
  <c r="I57" i="4"/>
  <c r="I58" i="4"/>
  <c r="I60" i="4"/>
  <c r="I61" i="4"/>
  <c r="I62" i="4"/>
  <c r="I63" i="4"/>
  <c r="L16" i="1" l="1"/>
  <c r="B11" i="7" l="1"/>
  <c r="G33" i="4"/>
  <c r="G36" i="4"/>
  <c r="G38" i="4"/>
  <c r="G40" i="4"/>
  <c r="G43" i="4"/>
  <c r="G45" i="4"/>
  <c r="G48" i="4"/>
  <c r="G49" i="4"/>
  <c r="G50" i="4"/>
  <c r="G51" i="4"/>
  <c r="G52" i="4"/>
  <c r="G54" i="4"/>
  <c r="G62" i="4"/>
  <c r="G5" i="4"/>
  <c r="G11" i="4"/>
  <c r="G15" i="4"/>
  <c r="G18" i="4"/>
  <c r="G19" i="4"/>
  <c r="G20" i="4"/>
  <c r="G21" i="4"/>
  <c r="G22" i="4"/>
  <c r="G25" i="4"/>
  <c r="G26" i="4"/>
  <c r="G28" i="4"/>
  <c r="G29" i="4"/>
  <c r="L25" i="1"/>
  <c r="L20" i="1"/>
  <c r="L21" i="1"/>
  <c r="I16" i="1"/>
  <c r="L26" i="1" l="1"/>
  <c r="L22" i="1"/>
  <c r="L23" i="1"/>
  <c r="B11" i="6"/>
  <c r="I17" i="1"/>
  <c r="B18" i="7" l="1"/>
  <c r="B17" i="7"/>
  <c r="B19" i="7"/>
  <c r="B12" i="6"/>
  <c r="I34" i="1"/>
  <c r="H36" i="1"/>
  <c r="L2" i="1"/>
  <c r="K36" i="1"/>
  <c r="I2" i="1"/>
  <c r="L34" i="1"/>
  <c r="B16" i="2"/>
  <c r="P11" i="1" s="1"/>
  <c r="B9" i="2"/>
  <c r="B8" i="2"/>
  <c r="B10" i="2"/>
  <c r="AG4" i="1"/>
  <c r="AD4" i="1"/>
  <c r="AG2" i="1"/>
  <c r="I6" i="1"/>
  <c r="I7" i="1"/>
  <c r="I8" i="1"/>
  <c r="AG9" i="1"/>
  <c r="I3" i="1"/>
  <c r="L10" i="1"/>
  <c r="I11" i="1"/>
  <c r="H37" i="1" a="1"/>
  <c r="I12" i="1"/>
  <c r="AG8" i="1"/>
  <c r="L9" i="1"/>
  <c r="AG6" i="1"/>
  <c r="AG3" i="1"/>
  <c r="AG11" i="1"/>
  <c r="I10" i="1"/>
  <c r="L8" i="1"/>
  <c r="L12" i="1"/>
  <c r="AD6" i="1"/>
  <c r="L6" i="1"/>
  <c r="H14" i="1"/>
  <c r="AD9" i="1"/>
  <c r="K37" i="1" a="1"/>
  <c r="L19" i="1"/>
  <c r="L7" i="1"/>
  <c r="L18" i="1"/>
  <c r="L3" i="1"/>
  <c r="AG10" i="1"/>
  <c r="L11" i="1"/>
  <c r="K14" i="1"/>
  <c r="I9" i="1"/>
  <c r="AD8" i="1"/>
  <c r="B6" i="7" l="1"/>
  <c r="B2" i="7"/>
  <c r="B8" i="7"/>
  <c r="B9" i="7"/>
  <c r="B5" i="7"/>
  <c r="B10" i="7"/>
  <c r="B2" i="6"/>
  <c r="B6" i="6"/>
  <c r="B9" i="6"/>
  <c r="B5" i="6"/>
  <c r="B10" i="6"/>
  <c r="H37" i="1"/>
  <c r="K37" i="1"/>
  <c r="B1" i="6"/>
  <c r="B1" i="7"/>
  <c r="B8" i="6"/>
  <c r="B7" i="6"/>
  <c r="W2" i="1"/>
  <c r="Z2" i="1"/>
  <c r="B4" i="8"/>
  <c r="B10" i="8"/>
  <c r="B2" i="8"/>
  <c r="AG5" i="1"/>
  <c r="P3" i="1"/>
  <c r="I5" i="1"/>
  <c r="L5" i="1"/>
  <c r="AD5" i="1"/>
  <c r="O106" i="1"/>
  <c r="B3" i="7" l="1"/>
  <c r="B3" i="6"/>
  <c r="Z3" i="1"/>
  <c r="W3" i="1"/>
  <c r="B12" i="8"/>
  <c r="AG7" i="1"/>
  <c r="E129" i="1"/>
  <c r="B7" i="7"/>
  <c r="AD7" i="1"/>
  <c r="Y4" i="1"/>
  <c r="V4" i="1"/>
  <c r="C29" i="7" l="1"/>
  <c r="C30" i="7"/>
  <c r="B33" i="7"/>
  <c r="B6" i="8"/>
  <c r="B4" i="6"/>
  <c r="B4" i="7"/>
  <c r="E128" i="1"/>
  <c r="B17" i="6" a="1"/>
  <c r="B17" i="6" l="1"/>
  <c r="C27" i="7"/>
  <c r="B15" i="7"/>
  <c r="D57" i="7"/>
  <c r="D10" i="7"/>
  <c r="D74" i="7"/>
  <c r="D19" i="7"/>
  <c r="D60" i="7"/>
  <c r="D47" i="7"/>
  <c r="D29" i="7"/>
  <c r="D54" i="7"/>
  <c r="D55" i="7"/>
  <c r="D56" i="7"/>
  <c r="D68" i="7"/>
  <c r="D37" i="7"/>
  <c r="D62" i="7"/>
  <c r="D64" i="7"/>
  <c r="D9" i="7"/>
  <c r="D73" i="7"/>
  <c r="D26" i="7"/>
  <c r="D35" i="7"/>
  <c r="D76" i="7"/>
  <c r="D45" i="7"/>
  <c r="D6" i="7"/>
  <c r="D70" i="7"/>
  <c r="D72" i="7"/>
  <c r="D25" i="7"/>
  <c r="D42" i="7"/>
  <c r="D12" i="7"/>
  <c r="D51" i="7"/>
  <c r="D28" i="7"/>
  <c r="D16" i="7"/>
  <c r="D61" i="7"/>
  <c r="D22" i="7"/>
  <c r="D24" i="7"/>
  <c r="D33" i="7"/>
  <c r="D50" i="7"/>
  <c r="D23" i="7"/>
  <c r="D59" i="7"/>
  <c r="D36" i="7"/>
  <c r="D5" i="7"/>
  <c r="D69" i="7"/>
  <c r="D30" i="7"/>
  <c r="D32" i="7"/>
  <c r="D65" i="7"/>
  <c r="D18" i="7"/>
  <c r="D27" i="7"/>
  <c r="D63" i="7"/>
  <c r="D71" i="7"/>
  <c r="D17" i="7"/>
  <c r="D34" i="7"/>
  <c r="D43" i="7"/>
  <c r="D4" i="7"/>
  <c r="D53" i="7"/>
  <c r="D14" i="7"/>
  <c r="D8" i="7"/>
  <c r="D41" i="7"/>
  <c r="D20" i="7"/>
  <c r="D58" i="7"/>
  <c r="D67" i="7"/>
  <c r="D44" i="7"/>
  <c r="D7" i="7"/>
  <c r="D13" i="7"/>
  <c r="D77" i="7"/>
  <c r="D38" i="7"/>
  <c r="D15" i="7"/>
  <c r="D40" i="7"/>
  <c r="D49" i="7"/>
  <c r="D66" i="7"/>
  <c r="D11" i="7"/>
  <c r="D75" i="7"/>
  <c r="D52" i="7"/>
  <c r="D31" i="7"/>
  <c r="D21" i="7"/>
  <c r="D46" i="7"/>
  <c r="D39" i="7"/>
  <c r="D48" i="7"/>
  <c r="E127" i="1"/>
  <c r="D82" i="7" l="1"/>
  <c r="D88" i="7"/>
  <c r="D95" i="7"/>
  <c r="D87" i="7"/>
  <c r="D100" i="7"/>
  <c r="D79" i="7"/>
  <c r="D84" i="7"/>
  <c r="D99" i="7"/>
  <c r="D86" i="7"/>
  <c r="D96" i="7"/>
  <c r="D89" i="7"/>
  <c r="D83" i="7"/>
  <c r="D80" i="7"/>
  <c r="D101" i="7"/>
  <c r="D90" i="7"/>
  <c r="D98" i="7"/>
  <c r="D94" i="7"/>
  <c r="D78" i="7"/>
  <c r="D91" i="7"/>
  <c r="D97" i="7"/>
  <c r="D92" i="7"/>
  <c r="D85" i="7"/>
  <c r="D81" i="7"/>
  <c r="D93" i="7"/>
  <c r="E126" i="1"/>
  <c r="E125" i="1" l="1"/>
  <c r="E124" i="1" l="1"/>
  <c r="E123" i="1" l="1"/>
  <c r="E122" i="1" l="1"/>
  <c r="E121" i="1" l="1"/>
  <c r="E120" i="1" l="1"/>
  <c r="E119" i="1" l="1"/>
  <c r="E118" i="1" l="1"/>
  <c r="E117" i="1" l="1"/>
  <c r="E116" i="1" l="1"/>
  <c r="E115" i="1" l="1"/>
  <c r="E114" i="1" l="1"/>
  <c r="E113" i="1" l="1"/>
  <c r="E112" i="1" l="1"/>
  <c r="E111" i="1" l="1"/>
  <c r="E110" i="1" l="1"/>
  <c r="E109" i="1" l="1"/>
  <c r="E108" i="1" l="1"/>
  <c r="E107" i="1" l="1"/>
  <c r="E106" i="1" l="1"/>
  <c r="E105" i="1" l="1"/>
  <c r="E104" i="1" l="1"/>
  <c r="E103" i="1" l="1"/>
  <c r="E102" i="1" l="1"/>
  <c r="E101" i="1" l="1"/>
  <c r="E100" i="1" l="1"/>
  <c r="E99" i="1" l="1"/>
  <c r="E98" i="1" l="1"/>
  <c r="E97" i="1" l="1"/>
  <c r="E96" i="1" l="1"/>
  <c r="E95" i="1" l="1"/>
  <c r="E94" i="1" l="1"/>
  <c r="E93" i="1" l="1"/>
  <c r="E92" i="1" l="1"/>
  <c r="E91" i="1" l="1"/>
  <c r="E90" i="1" l="1"/>
  <c r="E89" i="1" l="1"/>
  <c r="E88" i="1" l="1"/>
  <c r="E87" i="1" l="1"/>
  <c r="E86" i="1" l="1"/>
  <c r="E85" i="1" l="1"/>
  <c r="E84" i="1" l="1"/>
  <c r="E83" i="1" l="1"/>
  <c r="E82" i="1" l="1"/>
  <c r="E81" i="1" l="1"/>
  <c r="E80" i="1" l="1"/>
  <c r="E79" i="1" l="1"/>
  <c r="E78" i="1" l="1"/>
  <c r="E77" i="1" l="1"/>
  <c r="E76" i="1" l="1"/>
  <c r="E75" i="1" l="1"/>
  <c r="E74" i="1" l="1"/>
  <c r="E73" i="1" l="1"/>
  <c r="E72" i="1" l="1"/>
  <c r="E71" i="1" l="1"/>
  <c r="E70" i="1" l="1"/>
  <c r="E69" i="1" l="1"/>
  <c r="E68" i="1" l="1"/>
  <c r="E67" i="1" l="1"/>
  <c r="E66" i="1" l="1"/>
  <c r="E65" i="1" l="1"/>
  <c r="E64" i="1" l="1"/>
  <c r="E63" i="1" l="1"/>
  <c r="E62" i="1" l="1"/>
  <c r="E61" i="1" l="1"/>
  <c r="E60" i="1" l="1"/>
  <c r="E59" i="1" l="1"/>
  <c r="E58" i="1" l="1"/>
  <c r="E57" i="1" l="1"/>
  <c r="E56" i="1" l="1"/>
  <c r="E55" i="1" l="1"/>
  <c r="E54" i="1" l="1"/>
  <c r="E53" i="1" l="1"/>
  <c r="E52" i="1" l="1"/>
  <c r="E51" i="1" l="1"/>
  <c r="E50" i="1" l="1"/>
  <c r="E49" i="1" l="1"/>
  <c r="E48" i="1" l="1"/>
  <c r="E47" i="1" l="1"/>
  <c r="E46" i="1" l="1"/>
  <c r="E45" i="1" l="1"/>
  <c r="E44" i="1" l="1"/>
  <c r="E43" i="1" l="1"/>
  <c r="E42" i="1" l="1"/>
  <c r="E41" i="1" l="1"/>
  <c r="E40" i="1" l="1"/>
  <c r="E39" i="1" l="1"/>
  <c r="E38" i="1" l="1"/>
  <c r="E37" i="1" l="1"/>
  <c r="E36" i="1" l="1"/>
  <c r="E35" i="1" l="1"/>
  <c r="E34" i="1" l="1"/>
  <c r="E33" i="1" l="1"/>
  <c r="E32" i="1" l="1"/>
  <c r="E31" i="1" l="1"/>
  <c r="E30" i="1" l="1"/>
  <c r="E29" i="1" l="1"/>
  <c r="E28" i="1" l="1"/>
  <c r="E27" i="1" l="1"/>
  <c r="E26" i="1" l="1"/>
  <c r="E25" i="1" l="1"/>
  <c r="E24" i="1" l="1"/>
  <c r="E23" i="1" l="1"/>
  <c r="E22" i="1" l="1"/>
  <c r="E21" i="1" l="1"/>
  <c r="E20" i="1" l="1"/>
  <c r="E19" i="1" l="1"/>
  <c r="E18" i="1" l="1"/>
  <c r="E17" i="1" l="1"/>
  <c r="E16" i="1" l="1"/>
  <c r="E15" i="1" l="1"/>
  <c r="E14" i="1" l="1"/>
  <c r="E13" i="1" l="1"/>
  <c r="E12" i="1" l="1"/>
  <c r="E11" i="1" l="1"/>
  <c r="E10" i="1" l="1"/>
  <c r="E9" i="1" l="1"/>
  <c r="E8" i="1" l="1"/>
  <c r="E7" i="1" l="1"/>
  <c r="E6" i="1" l="1"/>
  <c r="E5" i="1" l="1"/>
  <c r="E4" i="1" l="1"/>
  <c r="E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K1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To obtain the quasi coupon dates, the date moving convention is replaced to keep the quasi dates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K16" authorId="0" shapeId="0" xr:uid="{487B7E14-F866-459A-BC42-5652E09DA3E3}">
      <text>
        <r>
          <rPr>
            <b/>
            <sz val="9"/>
            <color indexed="81"/>
            <rFont val="Tahoma"/>
            <family val="2"/>
          </rPr>
          <t>To obtain the quasi coupon dates, the date moving convention is replaced to keep the quasi dates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tc={0A02BB9D-6289-4F8E-AD1B-CCEA39565D11}</author>
    <author>Jörgen Blomvall</author>
    <author>Student@IEI</author>
  </authors>
  <commentList>
    <comment ref="M1" authorId="0" shapeId="0" xr:uid="{0A02BB9D-6289-4F8E-AD1B-CCEA39565D11}">
      <text>
        <t>[Threaded comment]
Your version of Excel allows you to read this threaded comment; however, any edits to it will get removed if the file is opened in a newer version of Excel. Learn more: https://go.microsoft.com/fwlink/?linkid=870924
Comment:
    Eikon: Interest Rate Benchmark Reform</t>
      </text>
    </comment>
    <comment ref="J2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>Jörgen Blomvall:</t>
        </r>
        <r>
          <rPr>
            <sz val="9"/>
            <color indexed="81"/>
            <rFont val="Tahoma"/>
            <family val="2"/>
          </rPr>
          <t xml:space="preserve">
Correct?</t>
        </r>
      </text>
    </comment>
    <comment ref="J8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Jörgen Blomvall:</t>
        </r>
        <r>
          <rPr>
            <sz val="9"/>
            <color indexed="81"/>
            <rFont val="Tahoma"/>
            <family val="2"/>
          </rPr>
          <t xml:space="preserve">
 The average 3 month Canadian Bankers’ Acceptances bid side interest rate as supplied by nine market makers (removing the high and low rates) as at 10am EST time each Toronto Business day. </t>
        </r>
      </text>
    </comment>
    <comment ref="W23" authorId="2" shapeId="0" xr:uid="{00000000-0006-0000-0300-000003000000}">
      <text>
        <r>
          <rPr>
            <b/>
            <sz val="9"/>
            <color indexed="81"/>
            <rFont val="Tahoma"/>
            <family val="2"/>
          </rPr>
          <t>Student@IEI:</t>
        </r>
        <r>
          <rPr>
            <sz val="9"/>
            <color indexed="81"/>
            <rFont val="Tahoma"/>
            <family val="2"/>
          </rPr>
          <t xml:space="preserve">
Det kan vara en extra dag ibland läs teknisk dokumentation</t>
        </r>
      </text>
    </comment>
    <comment ref="V28" authorId="2" shapeId="0" xr:uid="{00000000-0006-0000-0300-000004000000}">
      <text>
        <r>
          <rPr>
            <b/>
            <sz val="9"/>
            <color indexed="81"/>
            <rFont val="Tahoma"/>
            <family val="2"/>
          </rPr>
          <t>Student@IEI:</t>
        </r>
        <r>
          <rPr>
            <sz val="9"/>
            <color indexed="81"/>
            <rFont val="Tahoma"/>
            <family val="2"/>
          </rPr>
          <t xml:space="preserve">
Ungern har den på HUA140822D=</t>
        </r>
      </text>
    </comment>
    <comment ref="J43" authorId="1" shapeId="0" xr:uid="{0B31FFAA-7566-4E71-BB9E-04A30E78D51C}">
      <text>
        <r>
          <rPr>
            <b/>
            <sz val="9"/>
            <color indexed="81"/>
            <rFont val="Tahoma"/>
            <family val="2"/>
          </rPr>
          <t>Jörgen Blomvall:</t>
        </r>
        <r>
          <rPr>
            <sz val="9"/>
            <color indexed="81"/>
            <rFont val="Tahoma"/>
            <family val="2"/>
          </rPr>
          <t xml:space="preserve">
Should be PHIREF for the 3M rate
(but no access)
See: https://bap.org.ph/markets/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tc={9D0A34F0-9DAC-4748-A08B-242C9F634125}</author>
    <author>tc={F6ECD601-D2CF-46A9-9AB5-A211B3C3FE35}</author>
  </authors>
  <commentList>
    <comment ref="B14" authorId="0" shapeId="0" xr:uid="{9D0A34F0-9DAC-4748-A08B-242C9F634125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value manually from Workspace model Bond Calculator.</t>
      </text>
    </comment>
    <comment ref="B16" authorId="1" shapeId="0" xr:uid="{F6ECD601-D2CF-46A9-9AB5-A211B3C3FE35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value manually from Workspace model Bond Calculator.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tc={6967F207-77EE-4D7B-A1DC-87AB23DBE061}</author>
    <author>tc={06559DBB-72EA-4D48-9188-6C3D5F04E283}</author>
    <author>tc={B1100D46-288B-4164-B160-49F0FD1D8E28}</author>
  </authors>
  <commentList>
    <comment ref="E2" authorId="0" shapeId="0" xr:uid="{6967F207-77EE-4D7B-A1DC-87AB23DBE061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value manually from Workspace model Swap Pricer (SWPR)</t>
      </text>
    </comment>
    <comment ref="G2" authorId="1" shapeId="0" xr:uid="{06559DBB-72EA-4D48-9188-6C3D5F04E283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value manually from Workspace model Swap Pricer (SWPR)</t>
      </text>
    </comment>
    <comment ref="H2" authorId="2" shapeId="0" xr:uid="{B1100D46-288B-4164-B160-49F0FD1D8E28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value manually from Workspace model Swap Pricer (SWPR)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<sst xmlns="http://schemas.openxmlformats.org/spreadsheetml/2006/main" count="2603" uniqueCount="1317">
  <si>
    <t>Type of data</t>
  </si>
  <si>
    <t>Snapshot</t>
  </si>
  <si>
    <t>Country</t>
  </si>
  <si>
    <t>Germany</t>
  </si>
  <si>
    <t>Country code</t>
  </si>
  <si>
    <t>Currency</t>
  </si>
  <si>
    <t>Trade date</t>
  </si>
  <si>
    <t>Bill</t>
  </si>
  <si>
    <t>DE110490=</t>
  </si>
  <si>
    <t>Bond</t>
  </si>
  <si>
    <t>DEBU2207=</t>
  </si>
  <si>
    <t>IRS</t>
  </si>
  <si>
    <t>IRS structure</t>
  </si>
  <si>
    <t>Maturity</t>
  </si>
  <si>
    <t>4Y</t>
  </si>
  <si>
    <t>Nominal</t>
  </si>
  <si>
    <t>Interest rate</t>
  </si>
  <si>
    <t>y of the contract</t>
  </si>
  <si>
    <t>Interest rates</t>
  </si>
  <si>
    <t>IRS Cash flow dates</t>
  </si>
  <si>
    <t>IRS history</t>
  </si>
  <si>
    <t>Reference rate</t>
  </si>
  <si>
    <t>Bootstrap</t>
  </si>
  <si>
    <t>Equity future</t>
  </si>
  <si>
    <t>Equity option</t>
  </si>
  <si>
    <t>RIC</t>
  </si>
  <si>
    <t>Time</t>
  </si>
  <si>
    <t>Start</t>
  </si>
  <si>
    <t>End</t>
  </si>
  <si>
    <t>Next</t>
  </si>
  <si>
    <t>Discount</t>
  </si>
  <si>
    <t>Underlying RIC</t>
  </si>
  <si>
    <t>.OMXS30</t>
  </si>
  <si>
    <t>Over Night</t>
  </si>
  <si>
    <t>Chain</t>
  </si>
  <si>
    <t>Price</t>
  </si>
  <si>
    <t>Tomorrow Next</t>
  </si>
  <si>
    <t>Timestamp</t>
  </si>
  <si>
    <t>BID</t>
  </si>
  <si>
    <t>ASK</t>
  </si>
  <si>
    <t>1W</t>
  </si>
  <si>
    <t>Spot date</t>
  </si>
  <si>
    <t>Last Quote Close</t>
  </si>
  <si>
    <t>CF BID</t>
  </si>
  <si>
    <t>CF ASK</t>
  </si>
  <si>
    <t>1M</t>
  </si>
  <si>
    <t>SWAP/1</t>
  </si>
  <si>
    <t>#N/A</t>
  </si>
  <si>
    <t>2M</t>
  </si>
  <si>
    <t>Maturity date</t>
  </si>
  <si>
    <t>End date</t>
  </si>
  <si>
    <t>EURIRSINFO</t>
  </si>
  <si>
    <t>Days</t>
  </si>
  <si>
    <t>Work days</t>
  </si>
  <si>
    <t>3M</t>
  </si>
  <si>
    <t>Bid</t>
  </si>
  <si>
    <t>Coupon</t>
  </si>
  <si>
    <t>EURSIRS1=!</t>
  </si>
  <si>
    <t>NULL</t>
  </si>
  <si>
    <t>Strike</t>
  </si>
  <si>
    <t>6M</t>
  </si>
  <si>
    <t>Ask</t>
  </si>
  <si>
    <t>Bid yield</t>
  </si>
  <si>
    <t>EURAB6E1Y=</t>
  </si>
  <si>
    <t>Put/Call</t>
  </si>
  <si>
    <t>9M</t>
  </si>
  <si>
    <t>Bid disc</t>
  </si>
  <si>
    <t>Ask yield</t>
  </si>
  <si>
    <t>Floating rate</t>
  </si>
  <si>
    <t>EURAB6E18M=</t>
  </si>
  <si>
    <t>1Y</t>
  </si>
  <si>
    <t>Ask disc</t>
  </si>
  <si>
    <t>Bid price</t>
  </si>
  <si>
    <t>Structure</t>
  </si>
  <si>
    <t>EURAB6E2Y=</t>
  </si>
  <si>
    <t>1Y3M</t>
  </si>
  <si>
    <t>Price type</t>
  </si>
  <si>
    <t>Ask price</t>
  </si>
  <si>
    <t>EURAB6E3Y=</t>
  </si>
  <si>
    <t>1Y6M</t>
  </si>
  <si>
    <t/>
  </si>
  <si>
    <t>EURAB6E4Y=</t>
  </si>
  <si>
    <t>1Y9M</t>
  </si>
  <si>
    <t>EURAB6E5Y=</t>
  </si>
  <si>
    <t>2Y</t>
  </si>
  <si>
    <t>Bond structure</t>
  </si>
  <si>
    <t xml:space="preserve">ACC:AA CCM:BBAA CFADJ:NO CLDR:EMU_FI DATED:10NOV2022 DMC:F EMC:S FRCD:12DEC2023 FRQ:1 ISSUE:10NOV2022 NOTIONAL:1 PX:C PXRND:1E-5:NEAR REFDATE:MATURITY RP:1 SETTLE:2WD XD:NO </t>
  </si>
  <si>
    <t xml:space="preserve">ACC:AA CCM:BBAA CFADJ:NO CLDR:EMU_FI DATED:24OCT2024 DMC:F EMC:S FRCD:10DEC2025 FRQ:1 ISSUE:24OCT2024 NOTIONAL:1 PX:C PXRND:1E-5:NEAR REFDATE:MATURITY RP:1 SETTLE:2WD XD:NO </t>
  </si>
  <si>
    <t>EURAB6E6Y=</t>
  </si>
  <si>
    <t>2Y3M</t>
  </si>
  <si>
    <t>Basis in bond structure</t>
  </si>
  <si>
    <t>Mod bond structure</t>
  </si>
  <si>
    <t>EURAB6E7Y=</t>
  </si>
  <si>
    <t>2Y6M</t>
  </si>
  <si>
    <t>Basis</t>
  </si>
  <si>
    <t>Previous coupon</t>
  </si>
  <si>
    <t>FIXED</t>
  </si>
  <si>
    <t>EURAB6E8Y=</t>
  </si>
  <si>
    <t>0#OMXS30:</t>
  </si>
  <si>
    <t>0#OMXS30*.ST++</t>
  </si>
  <si>
    <t>2Y9M</t>
  </si>
  <si>
    <t>Next coupon</t>
  </si>
  <si>
    <t>EURAB6E9Y=</t>
  </si>
  <si>
    <t>3Y</t>
  </si>
  <si>
    <t>Ex-div date</t>
  </si>
  <si>
    <t>EURAB6E10Y=</t>
  </si>
  <si>
    <t>OMXS30Z4</t>
  </si>
  <si>
    <t>3Y3M</t>
  </si>
  <si>
    <t>Dated in bond structure</t>
  </si>
  <si>
    <t>EURAB6E11Y=</t>
  </si>
  <si>
    <t>OMXS30F5</t>
  </si>
  <si>
    <t>S30244000L4.ST</t>
  </si>
  <si>
    <t>3Y6M</t>
  </si>
  <si>
    <t>Issued in bond structure</t>
  </si>
  <si>
    <t>EURAB6E12Y=</t>
  </si>
  <si>
    <t>OMXS30G5</t>
  </si>
  <si>
    <t>S30244000X4.ST</t>
  </si>
  <si>
    <t>3Y9M</t>
  </si>
  <si>
    <t>Dated date</t>
  </si>
  <si>
    <t>EURAB6E13Y=</t>
  </si>
  <si>
    <t>OMXS30H5</t>
  </si>
  <si>
    <t>S30245000L4.ST</t>
  </si>
  <si>
    <t>Issue date</t>
  </si>
  <si>
    <t>EURAB6E14Y=</t>
  </si>
  <si>
    <t>OMXS30M5</t>
  </si>
  <si>
    <t>S30245000X4.ST</t>
  </si>
  <si>
    <t>4Y3M</t>
  </si>
  <si>
    <t>EURAB6E15Y=</t>
  </si>
  <si>
    <t>OMXS30U5</t>
  </si>
  <si>
    <t>S30246000L4.ST</t>
  </si>
  <si>
    <t>4Y6M</t>
  </si>
  <si>
    <t>EURAB6E16Y=</t>
  </si>
  <si>
    <t>OMXS30Z5</t>
  </si>
  <si>
    <t>S30246000X4.ST</t>
  </si>
  <si>
    <t>4Y9M</t>
  </si>
  <si>
    <t>EURAB6E17Y=</t>
  </si>
  <si>
    <t>OMXS30H6</t>
  </si>
  <si>
    <t>S30247000L4.ST</t>
  </si>
  <si>
    <t>5Y</t>
  </si>
  <si>
    <t>EURAB6E18Y=</t>
  </si>
  <si>
    <t>OMXS30Z6</t>
  </si>
  <si>
    <t>S30247000X4.ST</t>
  </si>
  <si>
    <t>5Y3M</t>
  </si>
  <si>
    <t>EURAB6E19Y=</t>
  </si>
  <si>
    <t>OMXS30Z7</t>
  </si>
  <si>
    <t>S30248000L4.ST</t>
  </si>
  <si>
    <t>5Y6M</t>
  </si>
  <si>
    <t>EURAB6E20Y=</t>
  </si>
  <si>
    <t>OMXS30Z8</t>
  </si>
  <si>
    <t>S30248000X4.ST</t>
  </si>
  <si>
    <t>5Y9M</t>
  </si>
  <si>
    <t>EURAB6E21Y=</t>
  </si>
  <si>
    <t>S30249000L4.ST</t>
  </si>
  <si>
    <t>6Y</t>
  </si>
  <si>
    <t>EURAB6E22Y=</t>
  </si>
  <si>
    <t>S30249000X4.ST</t>
  </si>
  <si>
    <t>6Y3M</t>
  </si>
  <si>
    <t>EURAB6E23Y=</t>
  </si>
  <si>
    <t>S30250000L4.ST</t>
  </si>
  <si>
    <t>6Y6M</t>
  </si>
  <si>
    <t>EURAB6E24Y=</t>
  </si>
  <si>
    <t>S30250000X4.ST</t>
  </si>
  <si>
    <t>6Y9M</t>
  </si>
  <si>
    <t># Bill RICs</t>
  </si>
  <si>
    <t># Bond RICs</t>
  </si>
  <si>
    <t>EURAB6E25Y=</t>
  </si>
  <si>
    <t>S30251000L4.ST</t>
  </si>
  <si>
    <t>7Y</t>
  </si>
  <si>
    <t>Remaining coupons</t>
  </si>
  <si>
    <t>EURAB6E26Y=</t>
  </si>
  <si>
    <t>S30251000X4.ST</t>
  </si>
  <si>
    <t>7Y3M</t>
  </si>
  <si>
    <t>EURAB6E27Y=</t>
  </si>
  <si>
    <t>S30252000L4.ST</t>
  </si>
  <si>
    <t>7Y6M</t>
  </si>
  <si>
    <t>EURAB6E28Y=</t>
  </si>
  <si>
    <t>S30252000X4.ST</t>
  </si>
  <si>
    <t>7Y9M</t>
  </si>
  <si>
    <t>DEBU0E12=</t>
  </si>
  <si>
    <t>EURAB6E29Y=</t>
  </si>
  <si>
    <t>S30240000A5.ST</t>
  </si>
  <si>
    <t>8Y</t>
  </si>
  <si>
    <t>EURAB6E30Y=</t>
  </si>
  <si>
    <t>S30240000M5.ST</t>
  </si>
  <si>
    <t>8Y3M</t>
  </si>
  <si>
    <t>DEBU0E13=</t>
  </si>
  <si>
    <t>EURAB6E40Y=</t>
  </si>
  <si>
    <t>S30242000A5.ST</t>
  </si>
  <si>
    <t>8Y6M</t>
  </si>
  <si>
    <t>DEBU0E14=</t>
  </si>
  <si>
    <t>DE110237=</t>
  </si>
  <si>
    <t>EURAB6E50Y=</t>
  </si>
  <si>
    <t>S30242000M5.ST</t>
  </si>
  <si>
    <t>8Y9M</t>
  </si>
  <si>
    <t>DEBU2200=</t>
  </si>
  <si>
    <t>S30244000A5.ST</t>
  </si>
  <si>
    <t>9Y</t>
  </si>
  <si>
    <t>DEBU0E15=</t>
  </si>
  <si>
    <t>S30244000M5.ST</t>
  </si>
  <si>
    <t>9Y3M</t>
  </si>
  <si>
    <t>DEBU0E16=</t>
  </si>
  <si>
    <t>S30246000A5.ST</t>
  </si>
  <si>
    <t>9Y6M</t>
  </si>
  <si>
    <t>DEBU0E17=</t>
  </si>
  <si>
    <t>DE114181=</t>
  </si>
  <si>
    <t>S30246000M5.ST</t>
  </si>
  <si>
    <t>9Y9M</t>
  </si>
  <si>
    <t>DEBU2201=</t>
  </si>
  <si>
    <t>S30248000A5.ST</t>
  </si>
  <si>
    <t>10Y</t>
  </si>
  <si>
    <t>DEBU0E18=</t>
  </si>
  <si>
    <t>S30248000M5.ST</t>
  </si>
  <si>
    <t>10Y3M</t>
  </si>
  <si>
    <t>DEBU0E19=</t>
  </si>
  <si>
    <t>S30250000A5.ST</t>
  </si>
  <si>
    <t>10Y6M</t>
  </si>
  <si>
    <t>DEBU0E20=</t>
  </si>
  <si>
    <t>S30250000M5.ST</t>
  </si>
  <si>
    <t>10Y9M</t>
  </si>
  <si>
    <t>DEBU0E21=</t>
  </si>
  <si>
    <t>S30252000A5.ST</t>
  </si>
  <si>
    <t>11Y</t>
  </si>
  <si>
    <t>DEBU2202=</t>
  </si>
  <si>
    <t>DE110238=</t>
  </si>
  <si>
    <t>S30252000M5.ST</t>
  </si>
  <si>
    <t>11Y3M</t>
  </si>
  <si>
    <t>DEBU0E22=</t>
  </si>
  <si>
    <t>S30254000A5.ST</t>
  </si>
  <si>
    <t>11Y6M</t>
  </si>
  <si>
    <t>DEBU0E23=</t>
  </si>
  <si>
    <t>S30254000M5.ST</t>
  </si>
  <si>
    <t>11Y9M</t>
  </si>
  <si>
    <t>DEBU2203=</t>
  </si>
  <si>
    <t>S30256000A5.ST</t>
  </si>
  <si>
    <t>12Y</t>
  </si>
  <si>
    <t>DEBU2204=</t>
  </si>
  <si>
    <t>DE103071=</t>
  </si>
  <si>
    <t>S30256000M5.ST</t>
  </si>
  <si>
    <t>12Y3M</t>
  </si>
  <si>
    <t>DEBU2205=</t>
  </si>
  <si>
    <t>DE114182=</t>
  </si>
  <si>
    <t>S30240000B5.ST</t>
  </si>
  <si>
    <t>12Y6M</t>
  </si>
  <si>
    <t>DEBU2206=</t>
  </si>
  <si>
    <t>S30240000N5.ST</t>
  </si>
  <si>
    <t>12Y9M</t>
  </si>
  <si>
    <t>DE381176=</t>
  </si>
  <si>
    <t>S30242000B5.ST</t>
  </si>
  <si>
    <t>13Y</t>
  </si>
  <si>
    <t>FLOAT</t>
  </si>
  <si>
    <t>S30242000N5.ST</t>
  </si>
  <si>
    <t>13Y3M</t>
  </si>
  <si>
    <t>S30244000B5.ST</t>
  </si>
  <si>
    <t>13Y6M</t>
  </si>
  <si>
    <t>DE110239=</t>
  </si>
  <si>
    <t>S30244000N5.ST</t>
  </si>
  <si>
    <t>13Y9M</t>
  </si>
  <si>
    <t>S30246000B5.ST</t>
  </si>
  <si>
    <t>14Y</t>
  </si>
  <si>
    <t>DE114183=</t>
  </si>
  <si>
    <t>S30246000N5.ST</t>
  </si>
  <si>
    <t>14Y3M</t>
  </si>
  <si>
    <t>S30248000B5.ST</t>
  </si>
  <si>
    <t>14Y6M</t>
  </si>
  <si>
    <t>DE110240=</t>
  </si>
  <si>
    <t>S30248000N5.ST</t>
  </si>
  <si>
    <t>14Y9M</t>
  </si>
  <si>
    <t>S30250000B5.ST</t>
  </si>
  <si>
    <t>15Y</t>
  </si>
  <si>
    <t>DE114184=</t>
  </si>
  <si>
    <t>S30250000N5.ST</t>
  </si>
  <si>
    <t>15Y3M</t>
  </si>
  <si>
    <t>DE381177=</t>
  </si>
  <si>
    <t>S30252000B5.ST</t>
  </si>
  <si>
    <t>15Y6M</t>
  </si>
  <si>
    <t>S30252000N5.ST</t>
  </si>
  <si>
    <t>15Y9M</t>
  </si>
  <si>
    <t>DE110241=</t>
  </si>
  <si>
    <t>S30254000B5.ST</t>
  </si>
  <si>
    <t>16Y</t>
  </si>
  <si>
    <t>DE114185=</t>
  </si>
  <si>
    <t>S30254000N5.ST</t>
  </si>
  <si>
    <t>16Y3M</t>
  </si>
  <si>
    <t>DE113504=</t>
  </si>
  <si>
    <t>S30256000B5.ST</t>
  </si>
  <si>
    <t>16Y6M</t>
  </si>
  <si>
    <t>DE110242=</t>
  </si>
  <si>
    <t>S30256000N5.ST</t>
  </si>
  <si>
    <t>16Y9M</t>
  </si>
  <si>
    <t>DE103074=</t>
  </si>
  <si>
    <t>S30240000C5.ST</t>
  </si>
  <si>
    <t>17Y</t>
  </si>
  <si>
    <t>DE114186=</t>
  </si>
  <si>
    <t>S30240000O5.ST</t>
  </si>
  <si>
    <t>17Y3M</t>
  </si>
  <si>
    <t>DE110252=</t>
  </si>
  <si>
    <t>S30242000C5.ST</t>
  </si>
  <si>
    <t>17Y6M</t>
  </si>
  <si>
    <t>DE381178=</t>
  </si>
  <si>
    <t>S30242000O5.ST</t>
  </si>
  <si>
    <t>17Y9M</t>
  </si>
  <si>
    <t>DE113506=</t>
  </si>
  <si>
    <t>S30244000C5.ST</t>
  </si>
  <si>
    <t>18Y</t>
  </si>
  <si>
    <t>DE110244=</t>
  </si>
  <si>
    <t>S30244000O5.ST</t>
  </si>
  <si>
    <t>18Y3M</t>
  </si>
  <si>
    <t>DEBU2500=</t>
  </si>
  <si>
    <t>S30246000C5.ST</t>
  </si>
  <si>
    <t>18Y6M</t>
  </si>
  <si>
    <t>DE113508=</t>
  </si>
  <si>
    <t>S30246000O5.ST</t>
  </si>
  <si>
    <t>18Y9M</t>
  </si>
  <si>
    <t>DE110245=</t>
  </si>
  <si>
    <t>S30248000C5.ST</t>
  </si>
  <si>
    <t>19Y</t>
  </si>
  <si>
    <t>DEBU2501=</t>
  </si>
  <si>
    <t>S30248000O5.ST</t>
  </si>
  <si>
    <t>19Y3M</t>
  </si>
  <si>
    <t>DE110255=</t>
  </si>
  <si>
    <t>S30250000C5.ST</t>
  </si>
  <si>
    <t>19Y6M</t>
  </si>
  <si>
    <t>DE381179=</t>
  </si>
  <si>
    <t>S30250000O5.ST</t>
  </si>
  <si>
    <t>19Y9M</t>
  </si>
  <si>
    <t>DE110246=</t>
  </si>
  <si>
    <t>S30252000C5.ST</t>
  </si>
  <si>
    <t>20Y</t>
  </si>
  <si>
    <t>DE114286=</t>
  </si>
  <si>
    <t>S30252000O5.ST</t>
  </si>
  <si>
    <t>20Y3M</t>
  </si>
  <si>
    <t>DEBU3502=</t>
  </si>
  <si>
    <t>S30254000C5.ST</t>
  </si>
  <si>
    <t>20Y6M</t>
  </si>
  <si>
    <t>DEBU2502=</t>
  </si>
  <si>
    <t>S30254000O5.ST</t>
  </si>
  <si>
    <t>20Y9M</t>
  </si>
  <si>
    <t>DE110247=</t>
  </si>
  <si>
    <t>S30256000C5.ST</t>
  </si>
  <si>
    <t>21Y</t>
  </si>
  <si>
    <t>DEBU2503=</t>
  </si>
  <si>
    <t>S30256000O5.ST</t>
  </si>
  <si>
    <t>21Y3M</t>
  </si>
  <si>
    <t>DE110262=</t>
  </si>
  <si>
    <t>S30240000F5.ST</t>
  </si>
  <si>
    <t>21Y6M</t>
  </si>
  <si>
    <t>DE381180=</t>
  </si>
  <si>
    <t>S30240000R5.ST</t>
  </si>
  <si>
    <t>21Y9M</t>
  </si>
  <si>
    <t>DE113514=</t>
  </si>
  <si>
    <t>S30242000F5.ST</t>
  </si>
  <si>
    <t>22Y</t>
  </si>
  <si>
    <t>DE110249=</t>
  </si>
  <si>
    <t>S30242000R5.ST</t>
  </si>
  <si>
    <t>22Y3M</t>
  </si>
  <si>
    <t>DE110250=</t>
  </si>
  <si>
    <t>S30244000F5.ST</t>
  </si>
  <si>
    <t>22Y6M</t>
  </si>
  <si>
    <t>DE103070=</t>
  </si>
  <si>
    <t>S30244000R5.ST</t>
  </si>
  <si>
    <t>22Y9M</t>
  </si>
  <si>
    <t>DEBU2700=</t>
  </si>
  <si>
    <t>S30246000F5.ST</t>
  </si>
  <si>
    <t>23Y</t>
  </si>
  <si>
    <t>DE113517=</t>
  </si>
  <si>
    <t>S30246000R5.ST</t>
  </si>
  <si>
    <t>23Y3M</t>
  </si>
  <si>
    <t>DE110253=</t>
  </si>
  <si>
    <t>S30248000F5.ST</t>
  </si>
  <si>
    <t>23Y6M</t>
  </si>
  <si>
    <t>DE110256=</t>
  </si>
  <si>
    <t>S30248000R5.ST</t>
  </si>
  <si>
    <t>23Y9M</t>
  </si>
  <si>
    <t>DE103073=</t>
  </si>
  <si>
    <t>S30250000F5.ST</t>
  </si>
  <si>
    <t>24Y</t>
  </si>
  <si>
    <t>DE110258=</t>
  </si>
  <si>
    <t>S30250000R5.ST</t>
  </si>
  <si>
    <t>24Y3M</t>
  </si>
  <si>
    <t>DE110260=</t>
  </si>
  <si>
    <t>S30252000F5.ST</t>
  </si>
  <si>
    <t>24Y6M</t>
  </si>
  <si>
    <t>DEBU2Z00=</t>
  </si>
  <si>
    <t>All contract options</t>
  </si>
  <si>
    <t>S30252000R5.ST</t>
  </si>
  <si>
    <t>24Y9M</t>
  </si>
  <si>
    <t>DEBU3Z00=</t>
  </si>
  <si>
    <t>S30254000F5.ST</t>
  </si>
  <si>
    <t>25Y</t>
  </si>
  <si>
    <t>DEBU2Z01=</t>
  </si>
  <si>
    <t>GV4 TEXT</t>
  </si>
  <si>
    <t>S30254000R5.ST</t>
  </si>
  <si>
    <t>25Y3M</t>
  </si>
  <si>
    <t>DEBU2Z02=</t>
  </si>
  <si>
    <t>S30256000F5.ST</t>
  </si>
  <si>
    <t>25Y6M</t>
  </si>
  <si>
    <t>DE113522=</t>
  </si>
  <si>
    <t>S30256000R5.ST</t>
  </si>
  <si>
    <t>25Y9M</t>
  </si>
  <si>
    <t>DEBU2Z03=</t>
  </si>
  <si>
    <t xml:space="preserve">      </t>
  </si>
  <si>
    <t>S30240000I5.ST</t>
  </si>
  <si>
    <t>26Y</t>
  </si>
  <si>
    <t>DE110251=</t>
  </si>
  <si>
    <t xml:space="preserve">1Y    </t>
  </si>
  <si>
    <t>S30240000U5.ST</t>
  </si>
  <si>
    <t>26Y3M</t>
  </si>
  <si>
    <t>DE110254=</t>
  </si>
  <si>
    <t xml:space="preserve">18M   </t>
  </si>
  <si>
    <t>S30242000I5.ST</t>
  </si>
  <si>
    <t>26Y6M</t>
  </si>
  <si>
    <t>DE113527=</t>
  </si>
  <si>
    <t xml:space="preserve">2Y    </t>
  </si>
  <si>
    <t>S30242000U5.ST</t>
  </si>
  <si>
    <t>26Y9M</t>
  </si>
  <si>
    <t>DE110259=</t>
  </si>
  <si>
    <t xml:space="preserve">3Y    </t>
  </si>
  <si>
    <t>S30244000I5.ST</t>
  </si>
  <si>
    <t>27Y</t>
  </si>
  <si>
    <t>DE113532=</t>
  </si>
  <si>
    <t xml:space="preserve">4Y    </t>
  </si>
  <si>
    <t>S30244000U5.ST</t>
  </si>
  <si>
    <t>27Y3M</t>
  </si>
  <si>
    <t>DE113536=</t>
  </si>
  <si>
    <t xml:space="preserve">5Y    </t>
  </si>
  <si>
    <t>S30246000I5.ST</t>
  </si>
  <si>
    <t>27Y6M</t>
  </si>
  <si>
    <t>DEBU2F00=</t>
  </si>
  <si>
    <t xml:space="preserve">6Y    </t>
  </si>
  <si>
    <t>S30246000U5.ST</t>
  </si>
  <si>
    <t>27Y9M</t>
  </si>
  <si>
    <t>DE113543=</t>
  </si>
  <si>
    <t xml:space="preserve">7Y    </t>
  </si>
  <si>
    <t>S30248000I5.ST</t>
  </si>
  <si>
    <t>28Y</t>
  </si>
  <si>
    <t>DE113548=</t>
  </si>
  <si>
    <t xml:space="preserve">8Y    </t>
  </si>
  <si>
    <t>S30248000U5.ST</t>
  </si>
  <si>
    <t>28Y3M</t>
  </si>
  <si>
    <t>DE110234=</t>
  </si>
  <si>
    <t xml:space="preserve">9Y    </t>
  </si>
  <si>
    <t>S30250000I5.ST</t>
  </si>
  <si>
    <t>28Y6M</t>
  </si>
  <si>
    <t>DE110243=</t>
  </si>
  <si>
    <t xml:space="preserve">10Y   </t>
  </si>
  <si>
    <t>S30250000U5.ST</t>
  </si>
  <si>
    <t>28Y9M</t>
  </si>
  <si>
    <t>DE103072=</t>
  </si>
  <si>
    <t xml:space="preserve">11Y   </t>
  </si>
  <si>
    <t>S30252000I5.ST</t>
  </si>
  <si>
    <t>29Y</t>
  </si>
  <si>
    <t>DE110248=</t>
  </si>
  <si>
    <t xml:space="preserve">12Y   </t>
  </si>
  <si>
    <t>S30252000U5.ST</t>
  </si>
  <si>
    <t>29Y3M</t>
  </si>
  <si>
    <t>DE110257=</t>
  </si>
  <si>
    <t xml:space="preserve">13Y   </t>
  </si>
  <si>
    <t>S30254000I5.ST</t>
  </si>
  <si>
    <t>29Y6M</t>
  </si>
  <si>
    <t>DE110261=</t>
  </si>
  <si>
    <t xml:space="preserve">14Y   </t>
  </si>
  <si>
    <t>S30254000U5.ST</t>
  </si>
  <si>
    <t>29Y9M</t>
  </si>
  <si>
    <t>DE103075=</t>
  </si>
  <si>
    <t xml:space="preserve">15Y   </t>
  </si>
  <si>
    <t>S30256000I5.ST</t>
  </si>
  <si>
    <t>30Y</t>
  </si>
  <si>
    <t>DEBU2D00=</t>
  </si>
  <si>
    <t xml:space="preserve">16Y   </t>
  </si>
  <si>
    <t>S30256000U5.ST</t>
  </si>
  <si>
    <t>30Y3M</t>
  </si>
  <si>
    <t xml:space="preserve">17Y   </t>
  </si>
  <si>
    <t>S30232000L5.ST</t>
  </si>
  <si>
    <t>30Y6M</t>
  </si>
  <si>
    <t xml:space="preserve">18Y   </t>
  </si>
  <si>
    <t>S30232000X5.ST</t>
  </si>
  <si>
    <t xml:space="preserve">19Y   </t>
  </si>
  <si>
    <t>S30236000L5.ST</t>
  </si>
  <si>
    <t xml:space="preserve">20Y   </t>
  </si>
  <si>
    <t>S30236000X5.ST</t>
  </si>
  <si>
    <t xml:space="preserve">21Y   </t>
  </si>
  <si>
    <t>S30240000L5.ST</t>
  </si>
  <si>
    <t xml:space="preserve">22Y   </t>
  </si>
  <si>
    <t>S30240000X5.ST</t>
  </si>
  <si>
    <t xml:space="preserve">23Y   </t>
  </si>
  <si>
    <t>S30244000L5.ST</t>
  </si>
  <si>
    <t xml:space="preserve">24Y   </t>
  </si>
  <si>
    <t>S30244000X5.ST</t>
  </si>
  <si>
    <t xml:space="preserve">25Y   </t>
  </si>
  <si>
    <t>S30248000L5.ST</t>
  </si>
  <si>
    <t xml:space="preserve">26Y   </t>
  </si>
  <si>
    <t>S30248000X5.ST</t>
  </si>
  <si>
    <t xml:space="preserve">27Y   </t>
  </si>
  <si>
    <t>S30250000L5.ST</t>
  </si>
  <si>
    <t xml:space="preserve">28Y   </t>
  </si>
  <si>
    <t>S30250000X5.ST</t>
  </si>
  <si>
    <t xml:space="preserve">29Y   </t>
  </si>
  <si>
    <t>S30252000L5.ST</t>
  </si>
  <si>
    <t xml:space="preserve">30Y   </t>
  </si>
  <si>
    <t>S30252000X5.ST</t>
  </si>
  <si>
    <t xml:space="preserve">40Y   </t>
  </si>
  <si>
    <t>S30256000L5.ST</t>
  </si>
  <si>
    <t xml:space="preserve">50Y   </t>
  </si>
  <si>
    <t>S30256000X5.ST</t>
  </si>
  <si>
    <t>S30260000L5.ST</t>
  </si>
  <si>
    <t>S30260000X5.ST</t>
  </si>
  <si>
    <t>S30232000C6.ST</t>
  </si>
  <si>
    <t>S30232000O6.ST</t>
  </si>
  <si>
    <t>S30236000C6.ST</t>
  </si>
  <si>
    <t>S30236000O6.ST</t>
  </si>
  <si>
    <t>S30240000C6.ST</t>
  </si>
  <si>
    <t>S30240000O6.ST</t>
  </si>
  <si>
    <t>S30244000C6.ST</t>
  </si>
  <si>
    <t>S30244000O6.ST</t>
  </si>
  <si>
    <t>S30248000C6.ST</t>
  </si>
  <si>
    <t>S30248000O6.ST</t>
  </si>
  <si>
    <t>S30250000C6.ST</t>
  </si>
  <si>
    <t>S30250000O6.ST</t>
  </si>
  <si>
    <t>S30252000C6.ST</t>
  </si>
  <si>
    <t>S30252000O6.ST</t>
  </si>
  <si>
    <t>S30256000C6.ST</t>
  </si>
  <si>
    <t>S30256000O6.ST</t>
  </si>
  <si>
    <t>S30260000C6.ST</t>
  </si>
  <si>
    <t>S30260000O6.ST</t>
  </si>
  <si>
    <t>S30232000L6.ST</t>
  </si>
  <si>
    <t>S30232000X6.ST</t>
  </si>
  <si>
    <t>S30236000L6.ST</t>
  </si>
  <si>
    <t>S30236000X6.ST</t>
  </si>
  <si>
    <t>S30240000L6.ST</t>
  </si>
  <si>
    <t>S30240000X6.ST</t>
  </si>
  <si>
    <t>S30244000L6.ST</t>
  </si>
  <si>
    <t>S30244000X6.ST</t>
  </si>
  <si>
    <t>S30248000L6.ST</t>
  </si>
  <si>
    <t>S30248000X6.ST</t>
  </si>
  <si>
    <t>S30252000L6.ST</t>
  </si>
  <si>
    <t>S30252000X6.ST</t>
  </si>
  <si>
    <t>S30256000L6.ST</t>
  </si>
  <si>
    <t>S30256000X6.ST</t>
  </si>
  <si>
    <t>S30260000L6.ST</t>
  </si>
  <si>
    <t>S30260000X6.ST</t>
  </si>
  <si>
    <t>S30264000L6.ST</t>
  </si>
  <si>
    <t>S30264000X6.ST</t>
  </si>
  <si>
    <t>S30232000L7.ST</t>
  </si>
  <si>
    <t>S30232000X7.ST</t>
  </si>
  <si>
    <t>S30236000L7.ST</t>
  </si>
  <si>
    <t>S30236000X7.ST</t>
  </si>
  <si>
    <t>S30240000L7.ST</t>
  </si>
  <si>
    <t>S30240000X7.ST</t>
  </si>
  <si>
    <t>S30244000L7.ST</t>
  </si>
  <si>
    <t>S30244000X7.ST</t>
  </si>
  <si>
    <t>S30248000L7.ST</t>
  </si>
  <si>
    <t>S30248000X7.ST</t>
  </si>
  <si>
    <t>S30252000L7.ST</t>
  </si>
  <si>
    <t>S30252000X7.ST</t>
  </si>
  <si>
    <t>S30256000L7.ST</t>
  </si>
  <si>
    <t>S30256000X7.ST</t>
  </si>
  <si>
    <t>S30260000L7.ST</t>
  </si>
  <si>
    <t>S30260000X7.ST</t>
  </si>
  <si>
    <t>S30264000L7.ST</t>
  </si>
  <si>
    <t>S30264000X7.ST</t>
  </si>
  <si>
    <t>S30232000L8.ST</t>
  </si>
  <si>
    <t>S30232000X8.ST</t>
  </si>
  <si>
    <t>S30236000L8.ST</t>
  </si>
  <si>
    <t>S30236000X8.ST</t>
  </si>
  <si>
    <t>S30240000L8.ST</t>
  </si>
  <si>
    <t>S30240000X8.ST</t>
  </si>
  <si>
    <t>S30244000L8.ST</t>
  </si>
  <si>
    <t>S30244000X8.ST</t>
  </si>
  <si>
    <t>S30248000L8.ST</t>
  </si>
  <si>
    <t>S30248000X8.ST</t>
  </si>
  <si>
    <t>S30252000L8.ST</t>
  </si>
  <si>
    <t>S30252000X8.ST</t>
  </si>
  <si>
    <t>S30256000L8.ST</t>
  </si>
  <si>
    <t>S30256000X8.ST</t>
  </si>
  <si>
    <t>S30260000L8.ST</t>
  </si>
  <si>
    <t>S30260000X8.ST</t>
  </si>
  <si>
    <t>S30264000L8.ST</t>
  </si>
  <si>
    <t>S30264000X8.ST</t>
  </si>
  <si>
    <t>Updated at 12:49:56</t>
  </si>
  <si>
    <t>EUR</t>
  </si>
  <si>
    <t>EURONZ=R</t>
  </si>
  <si>
    <t>EURIBOR6MD=</t>
  </si>
  <si>
    <t>EURIRS</t>
  </si>
  <si>
    <t>EURTNZ=R</t>
  </si>
  <si>
    <t>Updated at 11:14:00</t>
  </si>
  <si>
    <t>EUR1WZ=R</t>
  </si>
  <si>
    <t>EUR1MZ=R</t>
  </si>
  <si>
    <t>EUR2MZ=R</t>
  </si>
  <si>
    <t>EUR3MZ=R</t>
  </si>
  <si>
    <t>EUR6MZ=R</t>
  </si>
  <si>
    <t>C-EU</t>
  </si>
  <si>
    <t>EUR9MZ=R</t>
  </si>
  <si>
    <t>EUR1YZ=R</t>
  </si>
  <si>
    <t>EUR_AB6E</t>
  </si>
  <si>
    <t>EUR1Y3MZ=R</t>
  </si>
  <si>
    <t>PXC</t>
  </si>
  <si>
    <t>EUR1Y6MZ=R</t>
  </si>
  <si>
    <t>EUR1Y9MZ=R</t>
  </si>
  <si>
    <t>Updated at 10:22:35</t>
  </si>
  <si>
    <t>Updated at 10:40:37</t>
  </si>
  <si>
    <t>EUR2YZ=R</t>
  </si>
  <si>
    <t>EUR2Y3MZ=R</t>
  </si>
  <si>
    <t>AA</t>
  </si>
  <si>
    <t xml:space="preserve">ACC:AA CCM:BBAA CFADJ:NO CLDR:EMU_FI DATED:24OCT2024 DMC:NONE EMC:S FRCD:10DEC2025 FRQ:1 ISSUE:24OCT2024 NOTIONAL:1 PX:C PXRND:1E-5:NEAR REFDATE:MATURITY RP:1 SETTLE:2WD XD:NO </t>
  </si>
  <si>
    <t>EUR2Y6MZ=R</t>
  </si>
  <si>
    <t>Act/Act</t>
  </si>
  <si>
    <t>EUR2Y9MZ=R</t>
  </si>
  <si>
    <t>Updated at 09:16:13</t>
  </si>
  <si>
    <t>Updated at 09:16:14</t>
  </si>
  <si>
    <t>EUR3YZ=R</t>
  </si>
  <si>
    <t>EUR3Y3MZ=R</t>
  </si>
  <si>
    <t>EUR3Y6MZ=R</t>
  </si>
  <si>
    <t>EUR3Y9MZ=R</t>
  </si>
  <si>
    <t>EUR4YZ=R</t>
  </si>
  <si>
    <t>EUR4Y3MZ=R</t>
  </si>
  <si>
    <t>EUR4Y6MZ=R</t>
  </si>
  <si>
    <t>EUR4Y9MZ=R</t>
  </si>
  <si>
    <t>EUR5YZ=R</t>
  </si>
  <si>
    <t>EUR5Y3MZ=R</t>
  </si>
  <si>
    <t>EUR5Y6MZ=R</t>
  </si>
  <si>
    <t>EUR5Y9MZ=R</t>
  </si>
  <si>
    <t>EUR6YZ=R</t>
  </si>
  <si>
    <t>EUR6Y3MZ=R</t>
  </si>
  <si>
    <t>EUR6Y6MZ=R</t>
  </si>
  <si>
    <t>EUR6Y9MZ=R</t>
  </si>
  <si>
    <t>EUR7YZ=R</t>
  </si>
  <si>
    <t>EUR7Y3MZ=R</t>
  </si>
  <si>
    <t>0#DETSYS=</t>
  </si>
  <si>
    <t>0#DETSY=</t>
  </si>
  <si>
    <t>EUR7Y6MZ=R</t>
  </si>
  <si>
    <t>Updated at 10:38:29</t>
  </si>
  <si>
    <t>EUR7Y9MZ=R</t>
  </si>
  <si>
    <t>EUR8YZ=R</t>
  </si>
  <si>
    <t>EUR8Y3MZ=R</t>
  </si>
  <si>
    <t>EUR8Y6MZ=R</t>
  </si>
  <si>
    <t>EUR8Y9MZ=R</t>
  </si>
  <si>
    <t>EUR9YZ=R</t>
  </si>
  <si>
    <t>EUR9Y3MZ=R</t>
  </si>
  <si>
    <t>EUR9Y6MZ=R</t>
  </si>
  <si>
    <t>EUR9Y9MZ=R</t>
  </si>
  <si>
    <t>EUR10YZ=R</t>
  </si>
  <si>
    <t>EUR10Y3MZ=R</t>
  </si>
  <si>
    <t>#N/A The record could not be found</t>
  </si>
  <si>
    <t>EUR10Y6MZ=R</t>
  </si>
  <si>
    <t>EUR10Y9MZ=R</t>
  </si>
  <si>
    <t>EUR11YZ=R</t>
  </si>
  <si>
    <t>EUR11Y3MZ=R</t>
  </si>
  <si>
    <t>EUR11Y6MZ=R</t>
  </si>
  <si>
    <t>EUR11Y9MZ=R</t>
  </si>
  <si>
    <t>EUR12YZ=R</t>
  </si>
  <si>
    <t>EUR12Y3MZ=R</t>
  </si>
  <si>
    <t>EUR12Y6MZ=R</t>
  </si>
  <si>
    <t>EUR12Y9MZ=R</t>
  </si>
  <si>
    <t>EUR13YZ=R</t>
  </si>
  <si>
    <t>EUR13Y3MZ=R</t>
  </si>
  <si>
    <t>EUR13Y6MZ=R</t>
  </si>
  <si>
    <t>EUR13Y9MZ=R</t>
  </si>
  <si>
    <t>EUR14YZ=R</t>
  </si>
  <si>
    <t>EUR14Y3MZ=R</t>
  </si>
  <si>
    <t>EUR14Y6MZ=R</t>
  </si>
  <si>
    <t>EUR14Y9MZ=R</t>
  </si>
  <si>
    <t>EUR15YZ=R</t>
  </si>
  <si>
    <t>EUR15Y3MZ=R</t>
  </si>
  <si>
    <t>EUR15Y6MZ=R</t>
  </si>
  <si>
    <t>EUR15Y9MZ=R</t>
  </si>
  <si>
    <t>EUR16YZ=R</t>
  </si>
  <si>
    <t>EUR16Y3MZ=R</t>
  </si>
  <si>
    <t>EUR16Y6MZ=R</t>
  </si>
  <si>
    <t>EUR16Y9MZ=R</t>
  </si>
  <si>
    <t>EUR17YZ=R</t>
  </si>
  <si>
    <t>EUR17Y3MZ=R</t>
  </si>
  <si>
    <t>EUR17Y6MZ=R</t>
  </si>
  <si>
    <t>EUR17Y9MZ=R</t>
  </si>
  <si>
    <t>EUR18YZ=R</t>
  </si>
  <si>
    <t>EUR18Y3MZ=R</t>
  </si>
  <si>
    <t>EUR18Y6MZ=R</t>
  </si>
  <si>
    <t>EUR18Y9MZ=R</t>
  </si>
  <si>
    <t>EUR19YZ=R</t>
  </si>
  <si>
    <t>EUR19Y3MZ=R</t>
  </si>
  <si>
    <t>EUR19Y6MZ=R</t>
  </si>
  <si>
    <t>EUR19Y9MZ=R</t>
  </si>
  <si>
    <t>EUR20YZ=R</t>
  </si>
  <si>
    <t>EUR20Y3MZ=R</t>
  </si>
  <si>
    <t>EUR20Y6MZ=R</t>
  </si>
  <si>
    <t>EUR20Y9MZ=R</t>
  </si>
  <si>
    <t>EUR21YZ=R</t>
  </si>
  <si>
    <t>EUR21Y3MZ=R</t>
  </si>
  <si>
    <t>EUR21Y6MZ=R</t>
  </si>
  <si>
    <t>EUR21Y9MZ=R</t>
  </si>
  <si>
    <t>EUR22YZ=R</t>
  </si>
  <si>
    <t>EUR22Y3MZ=R</t>
  </si>
  <si>
    <t>EUR22Y6MZ=R</t>
  </si>
  <si>
    <t>EUR22Y9MZ=R</t>
  </si>
  <si>
    <t>EUR23YZ=R</t>
  </si>
  <si>
    <t>EUR23Y3MZ=R</t>
  </si>
  <si>
    <t>EUR23Y6MZ=R</t>
  </si>
  <si>
    <t>EUR23Y9MZ=R</t>
  </si>
  <si>
    <t>EUR24YZ=R</t>
  </si>
  <si>
    <t>EUR24Y3MZ=R</t>
  </si>
  <si>
    <t>EUR24Y6MZ=R</t>
  </si>
  <si>
    <t>EUR24Y9MZ=R</t>
  </si>
  <si>
    <t>EUR25YZ=R</t>
  </si>
  <si>
    <t>EUR25Y3MZ=R</t>
  </si>
  <si>
    <t>EUR25Y6MZ=R</t>
  </si>
  <si>
    <t>EUR25Y9MZ=R</t>
  </si>
  <si>
    <t>EUR26YZ=R</t>
  </si>
  <si>
    <t>EUR26Y3MZ=R</t>
  </si>
  <si>
    <t>EUR26Y6MZ=R</t>
  </si>
  <si>
    <t>EUR26Y9MZ=R</t>
  </si>
  <si>
    <t>EUR27YZ=R</t>
  </si>
  <si>
    <t>EUR27Y3MZ=R</t>
  </si>
  <si>
    <t>EUR27Y6MZ=R</t>
  </si>
  <si>
    <t>EUR27Y9MZ=R</t>
  </si>
  <si>
    <t>EUR28YZ=R</t>
  </si>
  <si>
    <t>EUR28Y3MZ=R</t>
  </si>
  <si>
    <t>EUR28Y6MZ=R</t>
  </si>
  <si>
    <t>EUR28Y9MZ=R</t>
  </si>
  <si>
    <t>EUR29YZ=R</t>
  </si>
  <si>
    <t>EUR29Y3MZ=R</t>
  </si>
  <si>
    <t>EUR29Y6MZ=R</t>
  </si>
  <si>
    <t>EUR29Y9MZ=R</t>
  </si>
  <si>
    <t>EUR30YZ=R</t>
  </si>
  <si>
    <t>EUR30Y3MZ=R</t>
  </si>
  <si>
    <t>EUR30Y6MZ=R</t>
  </si>
  <si>
    <t>2-letter code</t>
  </si>
  <si>
    <t>3-letter code</t>
  </si>
  <si>
    <t>OIS structure</t>
  </si>
  <si>
    <t>IRS floating rate</t>
  </si>
  <si>
    <t>OIS</t>
  </si>
  <si>
    <t>OIS floating rate</t>
  </si>
  <si>
    <t>OIS STR (new)</t>
  </si>
  <si>
    <t>OIS STR rate (new)</t>
  </si>
  <si>
    <t>Future STR</t>
  </si>
  <si>
    <t>Equity index</t>
  </si>
  <si>
    <t>Index future</t>
  </si>
  <si>
    <t>Index option</t>
  </si>
  <si>
    <t>Day counting names in Bond structure</t>
  </si>
  <si>
    <t>Day counting convention</t>
  </si>
  <si>
    <t>FRA length of contract</t>
  </si>
  <si>
    <t>Australia</t>
  </si>
  <si>
    <t>AU</t>
  </si>
  <si>
    <t>AUS</t>
  </si>
  <si>
    <t>AUD</t>
  </si>
  <si>
    <t>AUD_QM3AB</t>
  </si>
  <si>
    <t>OIS_AUDRBA</t>
  </si>
  <si>
    <t>AU3MEBBR=</t>
  </si>
  <si>
    <t>AUDOIS</t>
  </si>
  <si>
    <t>AUCASH=RBAA</t>
  </si>
  <si>
    <t>.AXJO</t>
  </si>
  <si>
    <t>0#YAP:</t>
  </si>
  <si>
    <t>0#AXJO*.AX</t>
  </si>
  <si>
    <t>00</t>
  </si>
  <si>
    <t>30/360</t>
  </si>
  <si>
    <t>Start of the contract</t>
  </si>
  <si>
    <t>Length of the contract</t>
  </si>
  <si>
    <t>Austria</t>
  </si>
  <si>
    <t>AT</t>
  </si>
  <si>
    <t>AUT</t>
  </si>
  <si>
    <t>OIS_EONIA</t>
  </si>
  <si>
    <t>EUROIS</t>
  </si>
  <si>
    <t>EONIA=</t>
  </si>
  <si>
    <t>EURESTOIS=</t>
  </si>
  <si>
    <t>EUROSTR=</t>
  </si>
  <si>
    <t>0#EON:</t>
  </si>
  <si>
    <t>.ATX</t>
  </si>
  <si>
    <t>0#FATXA:</t>
  </si>
  <si>
    <t>0#FATXA*.EX</t>
  </si>
  <si>
    <t>00M</t>
  </si>
  <si>
    <t>Bangladesh</t>
  </si>
  <si>
    <t>BD</t>
  </si>
  <si>
    <t>BGD</t>
  </si>
  <si>
    <t>BDT</t>
  </si>
  <si>
    <t>FINNS EJ</t>
  </si>
  <si>
    <t>05</t>
  </si>
  <si>
    <t>30/365</t>
  </si>
  <si>
    <t>Belgium</t>
  </si>
  <si>
    <t>BE</t>
  </si>
  <si>
    <t>BEL</t>
  </si>
  <si>
    <t>.BFX</t>
  </si>
  <si>
    <t>0#BFX:</t>
  </si>
  <si>
    <t>Right click on index, select Related -&gt; Option Watch</t>
  </si>
  <si>
    <t>0A</t>
  </si>
  <si>
    <t>30/Act</t>
  </si>
  <si>
    <t>Brazil</t>
  </si>
  <si>
    <t>BR</t>
  </si>
  <si>
    <t>BRA</t>
  </si>
  <si>
    <t>BRL</t>
  </si>
  <si>
    <t>BR_PRE</t>
  </si>
  <si>
    <t>A0</t>
  </si>
  <si>
    <t>Act/360</t>
  </si>
  <si>
    <t>Bulgaria</t>
  </si>
  <si>
    <t>BG</t>
  </si>
  <si>
    <t>BGR</t>
  </si>
  <si>
    <t>BGN</t>
  </si>
  <si>
    <t>BGN_AB3SO</t>
  </si>
  <si>
    <t>A25</t>
  </si>
  <si>
    <t>Act/366.25</t>
  </si>
  <si>
    <t>7M</t>
  </si>
  <si>
    <t>Canada</t>
  </si>
  <si>
    <t>CA</t>
  </si>
  <si>
    <t>CAN</t>
  </si>
  <si>
    <t>CAD</t>
  </si>
  <si>
    <t>CAD_SB3BA</t>
  </si>
  <si>
    <t>OIS_CADCORRA</t>
  </si>
  <si>
    <t>CA3MBAFIX=</t>
  </si>
  <si>
    <t>CADOIS</t>
  </si>
  <si>
    <t>CORRA=</t>
  </si>
  <si>
    <t>.SPTSE</t>
  </si>
  <si>
    <t>A4</t>
  </si>
  <si>
    <t>Act/364</t>
  </si>
  <si>
    <t>Chile</t>
  </si>
  <si>
    <t>CL</t>
  </si>
  <si>
    <t>CHL</t>
  </si>
  <si>
    <t>CLP</t>
  </si>
  <si>
    <t>CLP_AMAC</t>
  </si>
  <si>
    <t>OIS_CLPOIS</t>
  </si>
  <si>
    <t>CLPOIS</t>
  </si>
  <si>
    <t>CLPPCONDP=</t>
  </si>
  <si>
    <t>A5</t>
  </si>
  <si>
    <t>Act/365</t>
  </si>
  <si>
    <t>12M</t>
  </si>
  <si>
    <t>China</t>
  </si>
  <si>
    <t>CN</t>
  </si>
  <si>
    <t>CHN</t>
  </si>
  <si>
    <t>CNY</t>
  </si>
  <si>
    <t>CNY_QM3S</t>
  </si>
  <si>
    <t>OIS_CNYAMOS</t>
  </si>
  <si>
    <t>A5C</t>
  </si>
  <si>
    <t>Act/365C</t>
  </si>
  <si>
    <t>Croatia</t>
  </si>
  <si>
    <t>HR</t>
  </si>
  <si>
    <t>HRV</t>
  </si>
  <si>
    <t>HRK</t>
  </si>
  <si>
    <t>HRK_AB3Z</t>
  </si>
  <si>
    <t>A5L</t>
  </si>
  <si>
    <t>Ej implementerad</t>
  </si>
  <si>
    <t>Cyprus</t>
  </si>
  <si>
    <t>CY</t>
  </si>
  <si>
    <t>CYP</t>
  </si>
  <si>
    <t>A5P</t>
  </si>
  <si>
    <t>Czech Republic</t>
  </si>
  <si>
    <t>CZ</t>
  </si>
  <si>
    <t>CZE</t>
  </si>
  <si>
    <t>CZK</t>
  </si>
  <si>
    <t>CZK_AM6PR</t>
  </si>
  <si>
    <t>OIS_CZEONIA</t>
  </si>
  <si>
    <t>PRICZK6MD=</t>
  </si>
  <si>
    <t>CZKOIS</t>
  </si>
  <si>
    <t>CZEONIA=</t>
  </si>
  <si>
    <t>Denmark</t>
  </si>
  <si>
    <t>DK</t>
  </si>
  <si>
    <t>DNK</t>
  </si>
  <si>
    <t>DKK</t>
  </si>
  <si>
    <t>DKK_AB6C</t>
  </si>
  <si>
    <t>OIS_DKKTN</t>
  </si>
  <si>
    <t>CIDKK6MD=</t>
  </si>
  <si>
    <t>DKKTNS</t>
  </si>
  <si>
    <t>DKKAMTNC=</t>
  </si>
  <si>
    <t>DESTR=DKNA</t>
  </si>
  <si>
    <t>.OMXC25CAP</t>
  </si>
  <si>
    <t>0#OMXC25CAP:</t>
  </si>
  <si>
    <t>0#OMXC25CAP*.CO</t>
  </si>
  <si>
    <t>AFB</t>
  </si>
  <si>
    <t>Egypt</t>
  </si>
  <si>
    <t>EG</t>
  </si>
  <si>
    <t>EGY</t>
  </si>
  <si>
    <t>EGP</t>
  </si>
  <si>
    <t>CONIA=CBEY</t>
  </si>
  <si>
    <t>AIZ</t>
  </si>
  <si>
    <t>Estonia</t>
  </si>
  <si>
    <t>EE</t>
  </si>
  <si>
    <t>EST</t>
  </si>
  <si>
    <t>BB00</t>
  </si>
  <si>
    <t>Finland</t>
  </si>
  <si>
    <t>FI</t>
  </si>
  <si>
    <t>FIN</t>
  </si>
  <si>
    <t>.OMXH25</t>
  </si>
  <si>
    <t>0#OMXH25:</t>
  </si>
  <si>
    <t>BBA5</t>
  </si>
  <si>
    <t>France</t>
  </si>
  <si>
    <t>FR</t>
  </si>
  <si>
    <t>FRA</t>
  </si>
  <si>
    <t>.FCHI</t>
  </si>
  <si>
    <t>0#FCE:</t>
  </si>
  <si>
    <t>BBW252</t>
  </si>
  <si>
    <t>DE</t>
  </si>
  <si>
    <t>DEU</t>
  </si>
  <si>
    <t>.GDAXI</t>
  </si>
  <si>
    <t>0#FDX:</t>
  </si>
  <si>
    <t>0#GDAX*.EX</t>
  </si>
  <si>
    <t>DISC</t>
  </si>
  <si>
    <t>Greece</t>
  </si>
  <si>
    <t>GR</t>
  </si>
  <si>
    <t>GRC</t>
  </si>
  <si>
    <t>E0</t>
  </si>
  <si>
    <t>30E/360</t>
  </si>
  <si>
    <t>Hong Kong</t>
  </si>
  <si>
    <t>HK</t>
  </si>
  <si>
    <t>HKG</t>
  </si>
  <si>
    <t>HKD</t>
  </si>
  <si>
    <t>HKD_QM3H</t>
  </si>
  <si>
    <t>OIS_HONIX</t>
  </si>
  <si>
    <t>HIHKD3MD=</t>
  </si>
  <si>
    <t>HKDOIS=</t>
  </si>
  <si>
    <t>HIHKDOND=</t>
  </si>
  <si>
    <t>HONIA=</t>
  </si>
  <si>
    <t>.HSCE</t>
  </si>
  <si>
    <t>0#HCEI:</t>
  </si>
  <si>
    <t>0#HCEI*.HF</t>
  </si>
  <si>
    <t>IT</t>
  </si>
  <si>
    <t>Hungary</t>
  </si>
  <si>
    <t>HU</t>
  </si>
  <si>
    <t>HUN</t>
  </si>
  <si>
    <t>HUF</t>
  </si>
  <si>
    <t>HUF_AB6B</t>
  </si>
  <si>
    <t>OIS_HUFONIA</t>
  </si>
  <si>
    <t>HUFONIA=</t>
  </si>
  <si>
    <t>IT2</t>
  </si>
  <si>
    <t>Iceland</t>
  </si>
  <si>
    <t>IS</t>
  </si>
  <si>
    <t>ISL</t>
  </si>
  <si>
    <t>ISK</t>
  </si>
  <si>
    <t>ISK_AM3R</t>
  </si>
  <si>
    <t>IKON=SEDL</t>
  </si>
  <si>
    <t>JAP</t>
  </si>
  <si>
    <t>India</t>
  </si>
  <si>
    <t>IN</t>
  </si>
  <si>
    <t>IND</t>
  </si>
  <si>
    <t>INR</t>
  </si>
  <si>
    <t>INR_SM6M</t>
  </si>
  <si>
    <t>OIS_MIOIS</t>
  </si>
  <si>
    <t>INRMIFOR6M=RR</t>
  </si>
  <si>
    <t>INROIS</t>
  </si>
  <si>
    <t>INRONDFIX=FBIL</t>
  </si>
  <si>
    <t>.NSEI</t>
  </si>
  <si>
    <t>0#NIF:</t>
  </si>
  <si>
    <t>0#NIF*.NS</t>
  </si>
  <si>
    <t>JAPNGDEBENTURES</t>
  </si>
  <si>
    <t>Indonesia</t>
  </si>
  <si>
    <t>ID</t>
  </si>
  <si>
    <t>IDN</t>
  </si>
  <si>
    <t>IDR</t>
  </si>
  <si>
    <t>IDR_QM3J</t>
  </si>
  <si>
    <t>JIIDR3MD=BIIA</t>
  </si>
  <si>
    <t>INDONIA=</t>
  </si>
  <si>
    <t>JAPNGNIT</t>
  </si>
  <si>
    <t>Ireland</t>
  </si>
  <si>
    <t>IE</t>
  </si>
  <si>
    <t>IRL</t>
  </si>
  <si>
    <t>MMA0</t>
  </si>
  <si>
    <t>Israel</t>
  </si>
  <si>
    <t>IL</t>
  </si>
  <si>
    <t>ISR</t>
  </si>
  <si>
    <t>ILS</t>
  </si>
  <si>
    <t>ILS_AM3T</t>
  </si>
  <si>
    <t>SHIR=BOFI</t>
  </si>
  <si>
    <t>.TA25</t>
  </si>
  <si>
    <t>0#TLVJ*.TA</t>
  </si>
  <si>
    <t>MMA5</t>
  </si>
  <si>
    <t>Italy</t>
  </si>
  <si>
    <t>ITA</t>
  </si>
  <si>
    <t>MMAA</t>
  </si>
  <si>
    <t>Japan</t>
  </si>
  <si>
    <t>JP</t>
  </si>
  <si>
    <t>JPN</t>
  </si>
  <si>
    <t>JPY</t>
  </si>
  <si>
    <t>JPY_SB6L</t>
  </si>
  <si>
    <t>OIS_JPYONMU</t>
  </si>
  <si>
    <t>JPY6MFSR=</t>
  </si>
  <si>
    <t>JPYOIS</t>
  </si>
  <si>
    <t>JPONMU=RR</t>
  </si>
  <si>
    <t>JPYOIS=</t>
  </si>
  <si>
    <t>.N225</t>
  </si>
  <si>
    <t>0#JNI:</t>
  </si>
  <si>
    <t>0#JNI*.OS</t>
  </si>
  <si>
    <t>MMNL5</t>
  </si>
  <si>
    <t>Korea</t>
  </si>
  <si>
    <t>KR</t>
  </si>
  <si>
    <t>KOR</t>
  </si>
  <si>
    <t>KRW</t>
  </si>
  <si>
    <t>KRW_QMCD</t>
  </si>
  <si>
    <t>KRCD3M=KFIA</t>
  </si>
  <si>
    <t>KRCALL=BOKK</t>
  </si>
  <si>
    <t>KOFR=KSDQ</t>
  </si>
  <si>
    <t>.KS200</t>
  </si>
  <si>
    <t>0#KS:</t>
  </si>
  <si>
    <t>0#KS200*.KS</t>
  </si>
  <si>
    <t>NL0</t>
  </si>
  <si>
    <t>Kuwait</t>
  </si>
  <si>
    <t>KW</t>
  </si>
  <si>
    <t>KWT</t>
  </si>
  <si>
    <t>KWD</t>
  </si>
  <si>
    <t>KWD_AM3K</t>
  </si>
  <si>
    <t>NL5</t>
  </si>
  <si>
    <t>Latvia</t>
  </si>
  <si>
    <t>LV</t>
  </si>
  <si>
    <t>LVA</t>
  </si>
  <si>
    <t>W252</t>
  </si>
  <si>
    <t>Lebanon</t>
  </si>
  <si>
    <t>LB</t>
  </si>
  <si>
    <t>LBN</t>
  </si>
  <si>
    <t>LBP</t>
  </si>
  <si>
    <t>Lithuania</t>
  </si>
  <si>
    <t>LT</t>
  </si>
  <si>
    <t>LTU</t>
  </si>
  <si>
    <t>LTL</t>
  </si>
  <si>
    <t>Luxembourg</t>
  </si>
  <si>
    <t>LU</t>
  </si>
  <si>
    <t>LUX</t>
  </si>
  <si>
    <t>Malaysia</t>
  </si>
  <si>
    <t>MY</t>
  </si>
  <si>
    <t>MYS</t>
  </si>
  <si>
    <t>MYR</t>
  </si>
  <si>
    <t>MYR_QB3KL</t>
  </si>
  <si>
    <t>OIS_MYRONAR</t>
  </si>
  <si>
    <t>MYROIS=TNAS</t>
  </si>
  <si>
    <t>MYRONAR=BNEK</t>
  </si>
  <si>
    <t>MYOR=BNEK</t>
  </si>
  <si>
    <t>Mexico</t>
  </si>
  <si>
    <t>MX</t>
  </si>
  <si>
    <t>MEX</t>
  </si>
  <si>
    <t>MXN</t>
  </si>
  <si>
    <t>MXN_MB1T</t>
  </si>
  <si>
    <t>MXTIIEFD=RR</t>
  </si>
  <si>
    <t>Netherlands</t>
  </si>
  <si>
    <t>NL</t>
  </si>
  <si>
    <t>NLD</t>
  </si>
  <si>
    <t>.AEX</t>
  </si>
  <si>
    <t>0#AEX:</t>
  </si>
  <si>
    <t>0#AEX*.E</t>
  </si>
  <si>
    <t>New Zealand</t>
  </si>
  <si>
    <t>NZ</t>
  </si>
  <si>
    <t>NZL</t>
  </si>
  <si>
    <t>NZD</t>
  </si>
  <si>
    <t>NZD_SM3NB</t>
  </si>
  <si>
    <t>OIS_NZDRBNZ</t>
  </si>
  <si>
    <t>NZ3MT=RR</t>
  </si>
  <si>
    <t>NZDOIS</t>
  </si>
  <si>
    <t>Norway</t>
  </si>
  <si>
    <t>NO</t>
  </si>
  <si>
    <t>NOR</t>
  </si>
  <si>
    <t>NOK</t>
  </si>
  <si>
    <t>NOK_AB6O</t>
  </si>
  <si>
    <t>OINOK6MD=</t>
  </si>
  <si>
    <t>NOWA=</t>
  </si>
  <si>
    <t>.OBX</t>
  </si>
  <si>
    <t>0#OBX:</t>
  </si>
  <si>
    <t>Pakistan</t>
  </si>
  <si>
    <t>PK</t>
  </si>
  <si>
    <t>PAK</t>
  </si>
  <si>
    <t>PKR</t>
  </si>
  <si>
    <t>PKR_SM6KI</t>
  </si>
  <si>
    <t>Peru</t>
  </si>
  <si>
    <t>PE</t>
  </si>
  <si>
    <t>PER</t>
  </si>
  <si>
    <t>PEN</t>
  </si>
  <si>
    <t>PENOIS</t>
  </si>
  <si>
    <t>Philippines</t>
  </si>
  <si>
    <t>PH</t>
  </si>
  <si>
    <t>PHL</t>
  </si>
  <si>
    <t>PHP</t>
  </si>
  <si>
    <t>PHP_QB3P</t>
  </si>
  <si>
    <t>Poland</t>
  </si>
  <si>
    <t>PL</t>
  </si>
  <si>
    <t>POL</t>
  </si>
  <si>
    <t>PLN</t>
  </si>
  <si>
    <t>PLN_AB6W</t>
  </si>
  <si>
    <t>OIS_POLONIA</t>
  </si>
  <si>
    <t>PLNOIS</t>
  </si>
  <si>
    <t>POLONIA=</t>
  </si>
  <si>
    <t>WIRON=</t>
  </si>
  <si>
    <t>.WIG20</t>
  </si>
  <si>
    <t>0#FW20:</t>
  </si>
  <si>
    <t>0#W20*.WA</t>
  </si>
  <si>
    <t>Portugal</t>
  </si>
  <si>
    <t>PT</t>
  </si>
  <si>
    <t>PRT</t>
  </si>
  <si>
    <t>Romania</t>
  </si>
  <si>
    <t>RO</t>
  </si>
  <si>
    <t>ROM</t>
  </si>
  <si>
    <t>RON</t>
  </si>
  <si>
    <t>RON_AM3R</t>
  </si>
  <si>
    <t>RORON6MD=</t>
  </si>
  <si>
    <t>Russia</t>
  </si>
  <si>
    <t>RU</t>
  </si>
  <si>
    <t>RUS</t>
  </si>
  <si>
    <t>RUB</t>
  </si>
  <si>
    <t>RUB_AM3MO</t>
  </si>
  <si>
    <t>MOSPRIME3MD=</t>
  </si>
  <si>
    <t>RUBOIS</t>
  </si>
  <si>
    <t>RUONIA=</t>
  </si>
  <si>
    <t>Saudi Arabia</t>
  </si>
  <si>
    <t>SA</t>
  </si>
  <si>
    <t>SAU</t>
  </si>
  <si>
    <t>SAR</t>
  </si>
  <si>
    <t>SAR_AM3L</t>
  </si>
  <si>
    <t>SASAR3MD=</t>
  </si>
  <si>
    <t>Serbia</t>
  </si>
  <si>
    <t>RS</t>
  </si>
  <si>
    <t>SRB</t>
  </si>
  <si>
    <t>RSD</t>
  </si>
  <si>
    <t>Singapore</t>
  </si>
  <si>
    <t>SG</t>
  </si>
  <si>
    <t>SGP</t>
  </si>
  <si>
    <t>SGD</t>
  </si>
  <si>
    <t>SGD_SB6SI</t>
  </si>
  <si>
    <t>OIS_SGDONDFIX</t>
  </si>
  <si>
    <t>SGDOIS</t>
  </si>
  <si>
    <t>SGDTRDONF=ABSG</t>
  </si>
  <si>
    <t>South Africa</t>
  </si>
  <si>
    <t>ZA</t>
  </si>
  <si>
    <t>ZAF</t>
  </si>
  <si>
    <t>ZAR</t>
  </si>
  <si>
    <t>ZAR_QB3ZB</t>
  </si>
  <si>
    <t>Spain</t>
  </si>
  <si>
    <t>ES</t>
  </si>
  <si>
    <t>ESP</t>
  </si>
  <si>
    <t>.IBEX</t>
  </si>
  <si>
    <t>0#MFXI:</t>
  </si>
  <si>
    <t>0#MFMI*.i</t>
  </si>
  <si>
    <t>Sri Lanka</t>
  </si>
  <si>
    <t>LK</t>
  </si>
  <si>
    <t>LKA</t>
  </si>
  <si>
    <t>LKR</t>
  </si>
  <si>
    <t>Sweden</t>
  </si>
  <si>
    <t>SE</t>
  </si>
  <si>
    <t>SWE</t>
  </si>
  <si>
    <t>SEK</t>
  </si>
  <si>
    <t>SEK_AB3S</t>
  </si>
  <si>
    <t>OIS_SEKSTI</t>
  </si>
  <si>
    <t>STISEK3MDFI=</t>
  </si>
  <si>
    <t>SEKTNS</t>
  </si>
  <si>
    <t>STISEKTNDFI=</t>
  </si>
  <si>
    <t>SWESTR=RIKS</t>
  </si>
  <si>
    <t>0#OMXS30*.ST</t>
  </si>
  <si>
    <t>Switzerland</t>
  </si>
  <si>
    <t>CH</t>
  </si>
  <si>
    <t>CHE</t>
  </si>
  <si>
    <t>CHF</t>
  </si>
  <si>
    <t>CHF_AB6L</t>
  </si>
  <si>
    <t>OIS_CHFTOIS</t>
  </si>
  <si>
    <t>CHF6MFSR=</t>
  </si>
  <si>
    <t>CHFOIS</t>
  </si>
  <si>
    <t>SARON.S</t>
  </si>
  <si>
    <t>CHFOIS=</t>
  </si>
  <si>
    <t>0#FSR3:</t>
  </si>
  <si>
    <t>.SSMI</t>
  </si>
  <si>
    <t>0#FSMI:</t>
  </si>
  <si>
    <t>0#OSMI*.EX</t>
  </si>
  <si>
    <t>Taiwan</t>
  </si>
  <si>
    <t>TW</t>
  </si>
  <si>
    <t>TWN</t>
  </si>
  <si>
    <t>TWD</t>
  </si>
  <si>
    <t>TWD_QM3TC</t>
  </si>
  <si>
    <t>TW90DCP=</t>
  </si>
  <si>
    <t>Thailand</t>
  </si>
  <si>
    <t>TH</t>
  </si>
  <si>
    <t>THA</t>
  </si>
  <si>
    <t>THB</t>
  </si>
  <si>
    <t>THB_SB6BK</t>
  </si>
  <si>
    <t>THB6MFIX=TH</t>
  </si>
  <si>
    <t>.SET50</t>
  </si>
  <si>
    <t>0#S50:</t>
  </si>
  <si>
    <t>0#S50*.FX</t>
  </si>
  <si>
    <t>Turkey</t>
  </si>
  <si>
    <t>TR</t>
  </si>
  <si>
    <t>TUR</t>
  </si>
  <si>
    <t>TRY</t>
  </si>
  <si>
    <t>TRY_AM3L</t>
  </si>
  <si>
    <t>OIS_TRYTRRP</t>
  </si>
  <si>
    <t>.TLREF</t>
  </si>
  <si>
    <t>Ukraine</t>
  </si>
  <si>
    <t>UA</t>
  </si>
  <si>
    <t>UKR</t>
  </si>
  <si>
    <t>UAH</t>
  </si>
  <si>
    <t>United Arab Emirates</t>
  </si>
  <si>
    <t>AE</t>
  </si>
  <si>
    <t>ARE</t>
  </si>
  <si>
    <t>AED</t>
  </si>
  <si>
    <t>AED_AM3A</t>
  </si>
  <si>
    <t>United Kingdom</t>
  </si>
  <si>
    <t>GB</t>
  </si>
  <si>
    <t>GBR</t>
  </si>
  <si>
    <t>GBP</t>
  </si>
  <si>
    <t>GBP_SB6L</t>
  </si>
  <si>
    <t>OIS_SONIA</t>
  </si>
  <si>
    <t>Gilts!</t>
  </si>
  <si>
    <t>GBP6MFSR=</t>
  </si>
  <si>
    <t>GBPOIS</t>
  </si>
  <si>
    <t>SONIAOSR=</t>
  </si>
  <si>
    <t>GBPOIS=</t>
  </si>
  <si>
    <t>0#/SON:</t>
  </si>
  <si>
    <t>0#SON3:</t>
  </si>
  <si>
    <t>.FTSE</t>
  </si>
  <si>
    <t>0#FFI:</t>
  </si>
  <si>
    <t>0#LFE*.L</t>
  </si>
  <si>
    <t>United States</t>
  </si>
  <si>
    <t>US</t>
  </si>
  <si>
    <t>USA</t>
  </si>
  <si>
    <t>USD</t>
  </si>
  <si>
    <t>USD_AM3L</t>
  </si>
  <si>
    <t>OIS_FFER</t>
  </si>
  <si>
    <t>USD3MFSR=</t>
  </si>
  <si>
    <t>USDOIS</t>
  </si>
  <si>
    <t>USONFFE=</t>
  </si>
  <si>
    <t>USDSROIS=</t>
  </si>
  <si>
    <t>USDSOFR=</t>
  </si>
  <si>
    <t>0#S1R:</t>
  </si>
  <si>
    <t>0#SRA:</t>
  </si>
  <si>
    <t>.SPX</t>
  </si>
  <si>
    <t>0#ES:</t>
  </si>
  <si>
    <t>0#SPX*.U</t>
  </si>
  <si>
    <t>Vietnam</t>
  </si>
  <si>
    <t>VN</t>
  </si>
  <si>
    <t>VNM</t>
  </si>
  <si>
    <t>VND</t>
  </si>
  <si>
    <t>VND_QM3VN</t>
  </si>
  <si>
    <t>Bill structure</t>
  </si>
  <si>
    <t>Bill Price:</t>
  </si>
  <si>
    <t>Future CF Date</t>
  </si>
  <si>
    <t>Previous Coupon Date:</t>
  </si>
  <si>
    <t>N/A</t>
  </si>
  <si>
    <t>Next Coupon Date:</t>
  </si>
  <si>
    <t>Ex-div Date:</t>
  </si>
  <si>
    <t>Next Coupon date - Issue date</t>
  </si>
  <si>
    <t>Issue Date</t>
  </si>
  <si>
    <t>Bond Price</t>
  </si>
  <si>
    <t>Coupon frequency</t>
  </si>
  <si>
    <t xml:space="preserve">Annually </t>
  </si>
  <si>
    <t>Mod duration</t>
  </si>
  <si>
    <t>Convexity</t>
  </si>
  <si>
    <t>New</t>
  </si>
  <si>
    <t>Change</t>
  </si>
  <si>
    <t>Approx</t>
  </si>
  <si>
    <t>t_c</t>
  </si>
  <si>
    <t>FIXED CF dates</t>
  </si>
  <si>
    <t>FLOAT CF dates</t>
  </si>
  <si>
    <t>Day count convention</t>
  </si>
  <si>
    <t>Valuation date</t>
  </si>
  <si>
    <t>4)</t>
  </si>
  <si>
    <t>RT_YIELD_1</t>
  </si>
  <si>
    <t>Kontrakt</t>
  </si>
  <si>
    <t>Pseudo datum</t>
  </si>
  <si>
    <t>veckodag</t>
  </si>
  <si>
    <t>verkligt datum</t>
  </si>
  <si>
    <t>2.977613</t>
  </si>
  <si>
    <t>Start date</t>
  </si>
  <si>
    <t>Ingpng IRS</t>
  </si>
  <si>
    <t>START IRS</t>
  </si>
  <si>
    <t>Förfall (3Y)</t>
  </si>
  <si>
    <t>22/10/2027</t>
  </si>
  <si>
    <t>Nominellt</t>
  </si>
  <si>
    <t>Yield</t>
  </si>
  <si>
    <t>Antal dagar mellan kuponger</t>
  </si>
  <si>
    <t>Dagräkning</t>
  </si>
  <si>
    <t>Psudo datum</t>
  </si>
  <si>
    <t>Rörligt ben (Actual/365)</t>
  </si>
  <si>
    <t>Fats ben (30E/360)</t>
  </si>
  <si>
    <t>Kassaflöde</t>
  </si>
  <si>
    <t>Kuponger</t>
  </si>
  <si>
    <t>RIC row</t>
  </si>
  <si>
    <t>Värdering av Swap, erhåller bunden ränta</t>
  </si>
  <si>
    <t>Kassaflöden</t>
  </si>
  <si>
    <t>Datum</t>
  </si>
  <si>
    <t>Belopp rörligt ben</t>
  </si>
  <si>
    <t>Belopp fast ben</t>
  </si>
  <si>
    <t>FRN Bfl</t>
  </si>
  <si>
    <t>Bfix</t>
  </si>
  <si>
    <t>Disk. faktor</t>
  </si>
  <si>
    <t>Notional principal</t>
  </si>
  <si>
    <t>NPV</t>
  </si>
  <si>
    <t>3M EURIBOR den 2024-10-18</t>
  </si>
  <si>
    <t>Vswap</t>
  </si>
  <si>
    <t xml:space="preserve">5) </t>
  </si>
  <si>
    <t>PRIMACT_1</t>
  </si>
  <si>
    <t>SEC_ACT_1</t>
  </si>
  <si>
    <t>År</t>
  </si>
  <si>
    <t>B yield</t>
  </si>
  <si>
    <t>A yield</t>
  </si>
  <si>
    <t>Mid</t>
  </si>
  <si>
    <t>Diskfaktor</t>
  </si>
  <si>
    <t>Eff nollkupongsränta</t>
  </si>
  <si>
    <t>Thomson Reuters räntor</t>
  </si>
  <si>
    <t>%Skillnad</t>
  </si>
  <si>
    <t>2.3780</t>
  </si>
  <si>
    <t>2.3830</t>
  </si>
  <si>
    <t>2.242116</t>
  </si>
  <si>
    <t>2.399201</t>
  </si>
  <si>
    <t xml:space="preserve">2 år </t>
  </si>
  <si>
    <t>2.1750</t>
  </si>
  <si>
    <t>2.1890</t>
  </si>
  <si>
    <t>2.206841</t>
  </si>
  <si>
    <t>2.193851</t>
  </si>
  <si>
    <t>2.1520</t>
  </si>
  <si>
    <t>2.1770</t>
  </si>
  <si>
    <t>GV4_TEXT</t>
  </si>
  <si>
    <t>2.169070</t>
  </si>
  <si>
    <t>2.1510</t>
  </si>
  <si>
    <t>2.1710</t>
  </si>
  <si>
    <t>2.180519</t>
  </si>
  <si>
    <t>Kontinuerliga räntor</t>
  </si>
  <si>
    <t>Kontinuerliga terminsräntor</t>
  </si>
  <si>
    <t>2.1670</t>
  </si>
  <si>
    <t>2.1740</t>
  </si>
  <si>
    <t>2.171166</t>
  </si>
  <si>
    <t>2.224926</t>
  </si>
  <si>
    <t>2.1760</t>
  </si>
  <si>
    <t>2.1850</t>
  </si>
  <si>
    <t>2.192039</t>
  </si>
  <si>
    <t>2.1940</t>
  </si>
  <si>
    <t>2.1990</t>
  </si>
  <si>
    <t>2.2100</t>
  </si>
  <si>
    <t>2.2150</t>
  </si>
  <si>
    <t>2.2260</t>
  </si>
  <si>
    <t>2.2380</t>
  </si>
  <si>
    <t>2.2360</t>
  </si>
  <si>
    <t>2.2650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</si>
</sst>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%"/>
    <numFmt numFmtId="165" formatCode="0.0000000%"/>
    <numFmt numFmtId="166" formatCode="0.0000000"/>
    <numFmt numFmtId="167" formatCode="0.000"/>
    <numFmt numFmtId="168" formatCode="0.00000%"/>
    <numFmt numFmtId="169" formatCode="mmm\ dd\,\ yyyy"/>
    <numFmt numFmtId="170" formatCode="0.00000000%"/>
    <numFmt numFmtId="171" formatCode="yyyy\-mm\-dd;@"/>
    <numFmt numFmtId="172" formatCode="0.000%"/>
    <numFmt numFmtId="173" formatCode="mmm\ d\,\ yyyy"/>
    <numFmt numFmtId="174" formatCode="0.000000%"/>
    <numFmt numFmtId="175" formatCode="0.0000000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onsolas"/>
      <family val="3"/>
    </font>
    <font>
      <sz val="14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ck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2" borderId="1" applyNumberFormat="0" applyFont="0" applyAlignment="0" applyProtection="0"/>
    <xf numFmtId="0" fontId="3" fillId="0" borderId="0"/>
  </cellStyleXfs>
  <cellXfs count="112">
    <xf numFmtId="0" fontId="0" fillId="0" borderId="0" xfId="0"/>
    <xf numFmtId="0" fontId="2" fillId="3" borderId="0" xfId="0" applyFont="1" applyFill="1" applyAlignment="1">
      <alignment horizontal="center"/>
    </xf>
    <xf numFmtId="0" fontId="2" fillId="3" borderId="0" xfId="0" applyFont="1" applyFill="1"/>
    <xf numFmtId="14" fontId="0" fillId="0" borderId="0" xfId="0" applyNumberFormat="1"/>
    <xf numFmtId="0" fontId="0" fillId="3" borderId="0" xfId="0" applyFill="1"/>
    <xf numFmtId="0" fontId="3" fillId="0" borderId="0" xfId="0" applyFont="1"/>
    <xf numFmtId="0" fontId="2" fillId="0" borderId="0" xfId="0" applyFont="1"/>
    <xf numFmtId="14" fontId="2" fillId="0" borderId="0" xfId="0" applyNumberFormat="1" applyFont="1"/>
    <xf numFmtId="0" fontId="2" fillId="0" borderId="2" xfId="0" applyFont="1" applyBorder="1"/>
    <xf numFmtId="164" fontId="2" fillId="0" borderId="3" xfId="1" applyNumberFormat="1" applyFont="1" applyBorder="1"/>
    <xf numFmtId="165" fontId="1" fillId="0" borderId="0" xfId="1" applyNumberFormat="1" applyFont="1"/>
    <xf numFmtId="0" fontId="0" fillId="3" borderId="0" xfId="0" quotePrefix="1" applyFill="1"/>
    <xf numFmtId="0" fontId="0" fillId="0" borderId="0" xfId="0" quotePrefix="1"/>
    <xf numFmtId="14" fontId="0" fillId="0" borderId="0" xfId="0" quotePrefix="1" applyNumberFormat="1"/>
    <xf numFmtId="0" fontId="2" fillId="3" borderId="5" xfId="0" applyFont="1" applyFill="1" applyBorder="1"/>
    <xf numFmtId="0" fontId="2" fillId="3" borderId="6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0" fillId="3" borderId="3" xfId="0" applyFill="1" applyBorder="1"/>
    <xf numFmtId="0" fontId="0" fillId="3" borderId="7" xfId="0" applyFill="1" applyBorder="1"/>
    <xf numFmtId="0" fontId="0" fillId="3" borderId="8" xfId="0" applyFill="1" applyBorder="1"/>
    <xf numFmtId="0" fontId="2" fillId="3" borderId="7" xfId="0" applyFont="1" applyFill="1" applyBorder="1"/>
    <xf numFmtId="0" fontId="2" fillId="3" borderId="8" xfId="0" applyFont="1" applyFill="1" applyBorder="1"/>
    <xf numFmtId="0" fontId="0" fillId="0" borderId="9" xfId="0" applyBorder="1"/>
    <xf numFmtId="0" fontId="0" fillId="3" borderId="10" xfId="0" applyFill="1" applyBorder="1"/>
    <xf numFmtId="0" fontId="0" fillId="3" borderId="4" xfId="0" applyFill="1" applyBorder="1"/>
    <xf numFmtId="0" fontId="0" fillId="3" borderId="11" xfId="0" applyFill="1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14" fontId="2" fillId="4" borderId="3" xfId="2" applyNumberFormat="1" applyFont="1" applyFill="1" applyBorder="1"/>
    <xf numFmtId="0" fontId="2" fillId="0" borderId="7" xfId="0" applyFont="1" applyBorder="1"/>
    <xf numFmtId="14" fontId="2" fillId="4" borderId="8" xfId="2" applyNumberFormat="1" applyFont="1" applyFill="1" applyBorder="1"/>
    <xf numFmtId="0" fontId="2" fillId="4" borderId="8" xfId="2" applyNumberFormat="1" applyFont="1" applyFill="1" applyBorder="1"/>
    <xf numFmtId="0" fontId="2" fillId="5" borderId="2" xfId="0" applyFont="1" applyFill="1" applyBorder="1" applyAlignment="1">
      <alignment horizontal="center" vertical="center"/>
    </xf>
    <xf numFmtId="0" fontId="0" fillId="5" borderId="3" xfId="0" applyFill="1" applyBorder="1"/>
    <xf numFmtId="0" fontId="2" fillId="5" borderId="7" xfId="0" applyFont="1" applyFill="1" applyBorder="1" applyAlignment="1">
      <alignment horizontal="center" vertical="center"/>
    </xf>
    <xf numFmtId="0" fontId="0" fillId="5" borderId="8" xfId="0" applyFill="1" applyBorder="1"/>
    <xf numFmtId="0" fontId="2" fillId="5" borderId="10" xfId="0" applyFont="1" applyFill="1" applyBorder="1" applyAlignment="1">
      <alignment horizontal="center" vertical="center"/>
    </xf>
    <xf numFmtId="166" fontId="0" fillId="0" borderId="0" xfId="0" applyNumberFormat="1"/>
    <xf numFmtId="167" fontId="0" fillId="0" borderId="0" xfId="0" applyNumberFormat="1"/>
    <xf numFmtId="14" fontId="0" fillId="5" borderId="8" xfId="0" applyNumberFormat="1" applyFill="1" applyBorder="1"/>
    <xf numFmtId="0" fontId="0" fillId="5" borderId="8" xfId="0" applyFill="1" applyBorder="1" applyAlignment="1">
      <alignment wrapText="1"/>
    </xf>
    <xf numFmtId="0" fontId="0" fillId="5" borderId="11" xfId="0" applyFill="1" applyBorder="1"/>
    <xf numFmtId="0" fontId="2" fillId="3" borderId="12" xfId="0" applyFont="1" applyFill="1" applyBorder="1"/>
    <xf numFmtId="0" fontId="0" fillId="5" borderId="2" xfId="0" applyFill="1" applyBorder="1"/>
    <xf numFmtId="0" fontId="0" fillId="5" borderId="7" xfId="0" applyFill="1" applyBorder="1"/>
    <xf numFmtId="0" fontId="2" fillId="5" borderId="0" xfId="0" applyFont="1" applyFill="1"/>
    <xf numFmtId="0" fontId="2" fillId="5" borderId="7" xfId="0" applyFont="1" applyFill="1" applyBorder="1"/>
    <xf numFmtId="14" fontId="0" fillId="5" borderId="7" xfId="0" applyNumberFormat="1" applyFill="1" applyBorder="1"/>
    <xf numFmtId="14" fontId="6" fillId="0" borderId="0" xfId="0" applyNumberFormat="1" applyFont="1" applyAlignment="1">
      <alignment horizontal="left" vertical="center"/>
    </xf>
    <xf numFmtId="14" fontId="0" fillId="5" borderId="3" xfId="0" applyNumberFormat="1" applyFill="1" applyBorder="1"/>
    <xf numFmtId="0" fontId="0" fillId="5" borderId="2" xfId="0" applyFill="1" applyBorder="1" applyAlignment="1">
      <alignment horizontal="center" vertical="center"/>
    </xf>
    <xf numFmtId="0" fontId="3" fillId="3" borderId="0" xfId="0" applyFont="1" applyFill="1"/>
    <xf numFmtId="0" fontId="3" fillId="3" borderId="0" xfId="3" applyFill="1"/>
    <xf numFmtId="0" fontId="2" fillId="2" borderId="14" xfId="2" applyFont="1" applyBorder="1" applyAlignment="1">
      <alignment horizontal="center" vertical="center"/>
    </xf>
    <xf numFmtId="0" fontId="2" fillId="2" borderId="14" xfId="2" applyFont="1" applyBorder="1"/>
    <xf numFmtId="0" fontId="2" fillId="2" borderId="15" xfId="2" applyFont="1" applyBorder="1"/>
    <xf numFmtId="0" fontId="2" fillId="2" borderId="16" xfId="2" applyFont="1" applyBorder="1"/>
    <xf numFmtId="14" fontId="1" fillId="2" borderId="17" xfId="2" applyNumberFormat="1" applyFont="1" applyBorder="1"/>
    <xf numFmtId="14" fontId="2" fillId="2" borderId="16" xfId="2" applyNumberFormat="1" applyFont="1" applyBorder="1"/>
    <xf numFmtId="0" fontId="1" fillId="2" borderId="1" xfId="2" applyFont="1"/>
    <xf numFmtId="0" fontId="2" fillId="2" borderId="19" xfId="2" applyFont="1" applyBorder="1"/>
    <xf numFmtId="14" fontId="1" fillId="2" borderId="20" xfId="2" applyNumberFormat="1" applyFont="1" applyBorder="1"/>
    <xf numFmtId="14" fontId="1" fillId="2" borderId="18" xfId="2" applyNumberFormat="1" applyFont="1" applyBorder="1"/>
    <xf numFmtId="0" fontId="2" fillId="2" borderId="21" xfId="2" applyFont="1" applyBorder="1"/>
    <xf numFmtId="168" fontId="2" fillId="0" borderId="0" xfId="1" applyNumberFormat="1" applyFont="1" applyBorder="1"/>
    <xf numFmtId="0" fontId="1" fillId="2" borderId="22" xfId="2" applyFont="1" applyBorder="1"/>
    <xf numFmtId="0" fontId="0" fillId="0" borderId="0" xfId="0" applyAlignment="1">
      <alignment horizontal="center"/>
    </xf>
    <xf numFmtId="0" fontId="1" fillId="2" borderId="16" xfId="2" applyFont="1" applyBorder="1"/>
    <xf numFmtId="14" fontId="1" fillId="2" borderId="16" xfId="2" applyNumberFormat="1" applyFont="1" applyBorder="1"/>
    <xf numFmtId="0" fontId="0" fillId="0" borderId="0" xfId="0" applyAlignment="1">
      <alignment horizontal="right"/>
    </xf>
    <xf numFmtId="0" fontId="1" fillId="2" borderId="21" xfId="2" applyFont="1" applyBorder="1"/>
    <xf numFmtId="14" fontId="1" fillId="2" borderId="21" xfId="2" applyNumberFormat="1" applyFont="1" applyBorder="1"/>
    <xf numFmtId="0" fontId="1" fillId="2" borderId="23" xfId="2" applyFont="1" applyBorder="1"/>
    <xf numFmtId="0" fontId="2" fillId="2" borderId="0" xfId="2" applyFont="1" applyBorder="1"/>
    <xf numFmtId="14" fontId="1" fillId="2" borderId="22" xfId="2" applyNumberFormat="1" applyFont="1" applyBorder="1"/>
    <xf numFmtId="0" fontId="1" fillId="2" borderId="17" xfId="2" applyNumberFormat="1" applyFont="1" applyBorder="1"/>
    <xf numFmtId="14" fontId="2" fillId="2" borderId="0" xfId="2" applyNumberFormat="1" applyFont="1" applyBorder="1"/>
    <xf numFmtId="0" fontId="1" fillId="2" borderId="20" xfId="2" quotePrefix="1" applyFont="1" applyBorder="1"/>
    <xf numFmtId="10" fontId="0" fillId="0" borderId="0" xfId="0" applyNumberFormat="1"/>
    <xf numFmtId="0" fontId="2" fillId="0" borderId="0" xfId="0" quotePrefix="1" applyFont="1"/>
    <xf numFmtId="10" fontId="2" fillId="4" borderId="8" xfId="2" applyNumberFormat="1" applyFont="1" applyFill="1" applyBorder="1"/>
    <xf numFmtId="15" fontId="0" fillId="0" borderId="0" xfId="0" applyNumberFormat="1"/>
    <xf numFmtId="0" fontId="2" fillId="2" borderId="13" xfId="2" applyFont="1" applyBorder="1" applyAlignment="1">
      <alignment horizontal="center" vertical="center"/>
    </xf>
    <xf numFmtId="14" fontId="0" fillId="6" borderId="0" xfId="0" applyNumberFormat="1" applyFill="1"/>
    <xf numFmtId="0" fontId="0" fillId="6" borderId="0" xfId="0" applyFill="1"/>
    <xf numFmtId="14" fontId="0" fillId="6" borderId="0" xfId="0" quotePrefix="1" applyNumberFormat="1" applyFill="1"/>
    <xf numFmtId="0" fontId="0" fillId="6" borderId="0" xfId="0" quotePrefix="1" applyFill="1"/>
    <xf numFmtId="2" fontId="0" fillId="0" borderId="0" xfId="0" applyNumberFormat="1"/>
    <xf numFmtId="169" fontId="7" fillId="0" borderId="0" xfId="0" applyNumberFormat="1" applyFont="1" applyAlignment="1">
      <alignment horizontal="left"/>
    </xf>
    <xf numFmtId="170" fontId="0" fillId="0" borderId="0" xfId="0" applyNumberFormat="1"/>
    <xf numFmtId="171" fontId="0" fillId="0" borderId="0" xfId="0" applyNumberFormat="1"/>
    <xf numFmtId="0" fontId="8" fillId="0" borderId="0" xfId="0" applyFont="1"/>
    <xf numFmtId="0" fontId="9" fillId="0" borderId="0" xfId="0" applyFont="1"/>
    <xf numFmtId="17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164" fontId="0" fillId="0" borderId="0" xfId="0" applyNumberFormat="1"/>
    <xf numFmtId="173" fontId="11" fillId="0" borderId="0" xfId="0" applyNumberFormat="1" applyFont="1" applyAlignment="1">
      <alignment horizontal="left"/>
    </xf>
    <xf numFmtId="174" fontId="0" fillId="0" borderId="0" xfId="0" applyNumberFormat="1"/>
    <xf numFmtId="165" fontId="0" fillId="0" borderId="0" xfId="0" applyNumberFormat="1"/>
    <xf numFmtId="175" fontId="0" fillId="0" borderId="0" xfId="0" applyNumberFormat="1"/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5" borderId="0" xfId="0" applyFill="1" applyAlignment="1">
      <alignment horizontal="center" wrapText="1"/>
    </xf>
    <xf numFmtId="0" fontId="2" fillId="0" borderId="0" xfId="0" applyFont="1" applyAlignment="1">
      <alignment horizontal="center"/>
    </xf>
    <xf numFmtId="0" fontId="10" fillId="0" borderId="0" xfId="0" applyFont="1" applyAlignment="1">
      <alignment horizontal="center"/>
    </xf>
  </cellXfs>
  <cellStyles count="4">
    <cellStyle name="Normal" xfId="0" builtinId="0"/>
    <cellStyle name="Normal 2" xfId="3" xr:uid="{00000000-0005-0000-0000-000001000000}"/>
    <cellStyle name="Note" xfId="2" builtinId="1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</xdr:row>
          <xdr:rowOff>25400</xdr:rowOff>
        </xdr:from>
        <xdr:to>
          <xdr:col>1</xdr:col>
          <xdr:colOff>1016000</xdr:colOff>
          <xdr:row>3</xdr:row>
          <xdr:rowOff>184150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Make a new Snap!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snap!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25400</xdr:colOff>
          <xdr:row>4</xdr:row>
          <xdr:rowOff>25400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2</xdr:row>
          <xdr:rowOff>0</xdr:rowOff>
        </xdr:from>
        <xdr:to>
          <xdr:col>2</xdr:col>
          <xdr:colOff>0</xdr:colOff>
          <xdr:row>4</xdr:row>
          <xdr:rowOff>25400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Use realtime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örgen Blomvall" id="{378E5C7C-9DEB-478F-803F-BE3AC6F6DB18}" userId="S::jorbl45@liu.se::53e285ed-f3f5-4695-a390-f63850f989c6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" dT="2023-03-08T08:51:55.05" personId="{378E5C7C-9DEB-478F-803F-BE3AC6F6DB18}" id="{0A02BB9D-6289-4F8E-AD1B-CCEA39565D11}">
    <text>Eikon: Interest Rate Benchmark Reform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4" dT="2024-10-25T09:16:24.62" personId="{378E5C7C-9DEB-478F-803F-BE3AC6F6DB18}" id="{9D0A34F0-9DAC-4748-A08B-242C9F634125}">
    <text>Add value manually from Workspace model Bond Calculator.</text>
  </threadedComment>
  <threadedComment ref="B16" dT="2024-10-25T09:16:40.78" personId="{378E5C7C-9DEB-478F-803F-BE3AC6F6DB18}" id="{F6ECD601-D2CF-46A9-9AB5-A211B3C3FE35}">
    <text>Add value manually from Workspace model Bond Calculator.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2" dT="2024-10-25T09:56:29.28" personId="{378E5C7C-9DEB-478F-803F-BE3AC6F6DB18}" id="{6967F207-77EE-4D7B-A1DC-87AB23DBE061}">
    <text>Add value manually from Workspace model Swap Pricer (SWPR)</text>
  </threadedComment>
  <threadedComment ref="G2" dT="2024-10-25T09:56:42.45" personId="{378E5C7C-9DEB-478F-803F-BE3AC6F6DB18}" id="{06559DBB-72EA-4D48-9188-6C3D5F04E283}">
    <text>Add value manually from Workspace model Swap Pricer (SWPR)</text>
  </threadedComment>
  <threadedComment ref="H2" dT="2024-10-25T09:56:29.28" personId="{378E5C7C-9DEB-478F-803F-BE3AC6F6DB18}" id="{B1100D46-288B-4164-B160-49F0FD1D8E28}">
    <text>Add value manually from Workspace model Swap Pricer (SWPR)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22"/>
  <sheetViews>
    <sheetView workbookViewId="0">
      <selection activeCell="A3" sqref="A3"/>
    </sheetView>
  </sheetViews>
  <sheetFormatPr defaultRowHeight="14.5" x14ac:dyDescent="0.35"/>
  <cols>
    <col min="1" max="1" width="17.54296875" bestFit="1" customWidth="1"/>
    <col min="2" max="2" width="22.54296875" customWidth="1"/>
    <col min="4" max="4" width="10.7265625" bestFit="1" customWidth="1"/>
  </cols>
  <sheetData>
    <row r="2" spans="1:2" ht="15" thickBot="1" x14ac:dyDescent="0.4"/>
    <row r="3" spans="1:2" x14ac:dyDescent="0.35">
      <c r="A3" s="27"/>
      <c r="B3" s="28" t="b">
        <v>0</v>
      </c>
    </row>
    <row r="4" spans="1:2" x14ac:dyDescent="0.35">
      <c r="A4" s="29"/>
      <c r="B4" s="30"/>
    </row>
    <row r="5" spans="1:2" x14ac:dyDescent="0.35">
      <c r="A5" s="29" t="s">
        <v>0</v>
      </c>
      <c r="B5" s="30" t="s">
        <v>1</v>
      </c>
    </row>
    <row r="6" spans="1:2" ht="15" thickBot="1" x14ac:dyDescent="0.4">
      <c r="A6" s="31"/>
      <c r="B6" s="30"/>
    </row>
    <row r="7" spans="1:2" x14ac:dyDescent="0.35">
      <c r="A7" s="8" t="s">
        <v>2</v>
      </c>
      <c r="B7" s="32" t="s">
        <v>3</v>
      </c>
    </row>
    <row r="8" spans="1:2" x14ac:dyDescent="0.35">
      <c r="A8" s="33" t="s">
        <v>4</v>
      </c>
      <c r="B8" s="35" t="str">
        <f>VLOOKUP(B7,tables!A2:E100,3)</f>
        <v>DEU</v>
      </c>
    </row>
    <row r="9" spans="1:2" x14ac:dyDescent="0.35">
      <c r="A9" s="33" t="s">
        <v>5</v>
      </c>
      <c r="B9" s="35" t="str">
        <f>VLOOKUP(B7,tables!A2:E100,4)</f>
        <v>EUR</v>
      </c>
    </row>
    <row r="10" spans="1:2" x14ac:dyDescent="0.35">
      <c r="A10" s="33" t="s">
        <v>6</v>
      </c>
      <c r="B10" s="34">
        <f ca="1">IF(WEEKDAY(TODAY(),2)&lt;=5,TODAY(),TODAY()-(WEEKDAY(TODAY(),2)-5))</f>
        <v>45691</v>
      </c>
    </row>
    <row r="11" spans="1:2" x14ac:dyDescent="0.35">
      <c r="A11" s="33"/>
      <c r="B11" s="34"/>
    </row>
    <row r="12" spans="1:2" x14ac:dyDescent="0.35">
      <c r="A12" s="33"/>
      <c r="B12" s="34"/>
    </row>
    <row r="13" spans="1:2" x14ac:dyDescent="0.35">
      <c r="A13" s="33" t="s">
        <v>7</v>
      </c>
      <c r="B13" s="34" t="s">
        <v>8</v>
      </c>
    </row>
    <row r="14" spans="1:2" x14ac:dyDescent="0.35">
      <c r="A14" s="33" t="s">
        <v>9</v>
      </c>
      <c r="B14" s="34" t="s">
        <v>10</v>
      </c>
    </row>
    <row r="15" spans="1:2" x14ac:dyDescent="0.35">
      <c r="A15" s="106" t="s">
        <v>11</v>
      </c>
      <c r="B15" s="107"/>
    </row>
    <row r="16" spans="1:2" x14ac:dyDescent="0.35">
      <c r="A16" s="33" t="s">
        <v>12</v>
      </c>
      <c r="B16" s="34" t="str">
        <f>VLOOKUP(B7,tables!A2:E100,5)</f>
        <v>EUR_AB6E</v>
      </c>
    </row>
    <row r="17" spans="1:2" x14ac:dyDescent="0.35">
      <c r="A17" s="33" t="s">
        <v>6</v>
      </c>
      <c r="B17" s="34">
        <v>45593</v>
      </c>
    </row>
    <row r="18" spans="1:2" x14ac:dyDescent="0.35">
      <c r="A18" s="33" t="s">
        <v>13</v>
      </c>
      <c r="B18" s="34" t="s">
        <v>14</v>
      </c>
    </row>
    <row r="19" spans="1:2" x14ac:dyDescent="0.35">
      <c r="A19" s="33" t="s">
        <v>15</v>
      </c>
      <c r="B19" s="35">
        <v>100</v>
      </c>
    </row>
    <row r="20" spans="1:2" x14ac:dyDescent="0.35">
      <c r="A20" s="6" t="s">
        <v>16</v>
      </c>
      <c r="B20" s="35" t="str">
        <f>VLOOKUP(B7,tables!A2:Q100,17)</f>
        <v>EUR</v>
      </c>
    </row>
    <row r="21" spans="1:2" x14ac:dyDescent="0.35">
      <c r="A21" s="33" t="s">
        <v>17</v>
      </c>
      <c r="B21" s="84"/>
    </row>
    <row r="22" spans="1:2" x14ac:dyDescent="0.35">
      <c r="A22" s="29"/>
      <c r="B22" s="30"/>
    </row>
  </sheetData>
  <mergeCells count="1">
    <mergeCell ref="A15:B15"/>
  </mergeCells>
  <dataValidations count="3">
    <dataValidation type="list" allowBlank="1" showInputMessage="1" showErrorMessage="1" sqref="B18" xr:uid="{00000000-0002-0000-0000-000000000000}">
      <formula1>IRS_contract_length</formula1>
    </dataValidation>
    <dataValidation type="list" allowBlank="1" showInputMessage="1" showErrorMessage="1" sqref="B7" xr:uid="{00000000-0002-0000-0000-000004000000}">
      <formula1>countryList</formula1>
    </dataValidation>
    <dataValidation type="list" allowBlank="1" showInputMessage="1" showErrorMessage="1" sqref="B13:B14" xr:uid="{00000000-0002-0000-0000-000005000000}">
      <formula1>billChain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>
                <anchor moveWithCells="1" sizeWithCells="1">
                  <from>
                    <xdr:col>0</xdr:col>
                    <xdr:colOff>25400</xdr:colOff>
                    <xdr:row>2</xdr:row>
                    <xdr:rowOff>25400</xdr:rowOff>
                  </from>
                  <to>
                    <xdr:col>1</xdr:col>
                    <xdr:colOff>1016000</xdr:colOff>
                    <xdr:row>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createSnapshot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25400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useRealTime">
                <anchor moveWithCells="1" sizeWithCells="1">
                  <from>
                    <xdr:col>1</xdr:col>
                    <xdr:colOff>6350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H439"/>
  <sheetViews>
    <sheetView topLeftCell="G52" zoomScale="80" zoomScaleNormal="80" workbookViewId="0">
      <selection activeCell="F9" sqref="F9"/>
    </sheetView>
  </sheetViews>
  <sheetFormatPr defaultRowHeight="14.5" x14ac:dyDescent="0.35"/>
  <cols>
    <col min="1" max="1" width="16.7265625" bestFit="1" customWidth="1"/>
    <col min="2" max="2" width="15" bestFit="1" customWidth="1"/>
    <col min="3" max="3" width="40.26953125" bestFit="1" customWidth="1"/>
    <col min="4" max="4" width="12.81640625" bestFit="1" customWidth="1"/>
    <col min="5" max="5" width="12.81640625" customWidth="1"/>
    <col min="6" max="6" width="40.26953125" bestFit="1" customWidth="1"/>
    <col min="7" max="7" width="3.1796875" style="4" customWidth="1"/>
    <col min="8" max="8" width="31" bestFit="1" customWidth="1"/>
    <col min="9" max="9" width="19" customWidth="1"/>
    <col min="10" max="10" width="3.1796875" style="4" customWidth="1"/>
    <col min="11" max="11" width="20.26953125" customWidth="1"/>
    <col min="12" max="12" width="24" customWidth="1"/>
    <col min="13" max="13" width="16.453125" customWidth="1"/>
    <col min="14" max="14" width="3.1796875" style="4" customWidth="1"/>
    <col min="15" max="15" width="26.81640625" customWidth="1"/>
    <col min="16" max="16" width="33.7265625" customWidth="1"/>
    <col min="17" max="17" width="3.1796875" style="4" customWidth="1"/>
    <col min="18" max="18" width="20.26953125" customWidth="1"/>
    <col min="19" max="19" width="24" customWidth="1"/>
    <col min="20" max="20" width="16.453125" customWidth="1"/>
    <col min="21" max="21" width="3.1796875" style="4" customWidth="1"/>
    <col min="22" max="22" width="23.1796875" style="3" bestFit="1" customWidth="1"/>
    <col min="23" max="23" width="22.1796875" bestFit="1" customWidth="1"/>
    <col min="24" max="24" width="3.1796875" style="4" customWidth="1"/>
    <col min="25" max="25" width="20.26953125" customWidth="1"/>
    <col min="26" max="26" width="24" customWidth="1"/>
    <col min="27" max="27" width="16.453125" customWidth="1"/>
    <col min="28" max="28" width="3.1796875" style="4" customWidth="1"/>
    <col min="29" max="29" width="20.54296875" bestFit="1" customWidth="1"/>
    <col min="30" max="30" width="15.7265625" customWidth="1"/>
    <col min="31" max="31" width="3.1796875" style="4" customWidth="1"/>
    <col min="32" max="32" width="23.1796875" bestFit="1" customWidth="1"/>
    <col min="33" max="33" width="22.1796875" bestFit="1" customWidth="1"/>
    <col min="34" max="34" width="3.1796875" style="4" customWidth="1"/>
  </cols>
  <sheetData>
    <row r="1" spans="1:34" x14ac:dyDescent="0.35">
      <c r="A1" s="108" t="s">
        <v>18</v>
      </c>
      <c r="B1" s="108"/>
      <c r="C1" s="108"/>
      <c r="D1" s="108"/>
      <c r="E1" s="108"/>
      <c r="F1" s="108"/>
      <c r="G1" s="108"/>
      <c r="H1" s="108" t="s">
        <v>7</v>
      </c>
      <c r="I1" s="108"/>
      <c r="J1" s="2"/>
      <c r="K1" s="108" t="s">
        <v>9</v>
      </c>
      <c r="L1" s="108"/>
      <c r="M1" s="1"/>
      <c r="N1" s="2"/>
      <c r="O1" s="108" t="s">
        <v>19</v>
      </c>
      <c r="P1" s="108"/>
      <c r="Q1" s="2"/>
      <c r="R1" s="108" t="s">
        <v>20</v>
      </c>
      <c r="S1" s="108"/>
      <c r="T1" s="1"/>
      <c r="U1" s="2"/>
      <c r="V1" s="108" t="s">
        <v>21</v>
      </c>
      <c r="W1" s="108"/>
      <c r="X1" s="2"/>
      <c r="Y1" s="108" t="s">
        <v>22</v>
      </c>
      <c r="Z1" s="108"/>
      <c r="AA1" s="1"/>
      <c r="AB1" s="2"/>
      <c r="AC1" s="108" t="s">
        <v>23</v>
      </c>
      <c r="AD1" s="108"/>
      <c r="AE1" s="2"/>
      <c r="AF1" s="108" t="s">
        <v>24</v>
      </c>
      <c r="AG1" s="108"/>
      <c r="AH1" s="2"/>
    </row>
    <row r="2" spans="1:34" x14ac:dyDescent="0.35">
      <c r="A2" t="s">
        <v>25</v>
      </c>
      <c r="B2" t="s">
        <v>26</v>
      </c>
      <c r="C2" s="3" t="s">
        <v>27</v>
      </c>
      <c r="D2" s="3" t="s">
        <v>28</v>
      </c>
      <c r="E2" s="3" t="s">
        <v>29</v>
      </c>
      <c r="F2" t="s">
        <v>30</v>
      </c>
      <c r="H2" t="s">
        <v>25</v>
      </c>
      <c r="I2" s="3" t="str">
        <f>main!B13</f>
        <v>DE110490=</v>
      </c>
      <c r="K2" t="s">
        <v>25</v>
      </c>
      <c r="L2" s="3" t="str">
        <f>main!B14</f>
        <v>DEBU2207=</v>
      </c>
      <c r="M2" s="3"/>
      <c r="R2" t="str">
        <f>_xlfn.XLOOKUP("*3Y*", P108:P125,O108:O125,,2)</f>
        <v>EURAB6E3Y=</v>
      </c>
      <c r="S2" t="str">
        <f>_xll.RDP.HistoricalPricing($R$2,"BID;ASK","NBROWS:100 ADJUSTED:YES SOURCE:RFV INTERVAL:P1D",,"CH:Fd RH:Timestamp",R4)</f>
        <v>Updated at 12:49:56</v>
      </c>
      <c r="V2" t="s">
        <v>5</v>
      </c>
      <c r="W2" t="str">
        <f>main!$B$9</f>
        <v>EUR</v>
      </c>
      <c r="Y2" t="s">
        <v>5</v>
      </c>
      <c r="Z2" t="str">
        <f>main!$B$9</f>
        <v>EUR</v>
      </c>
      <c r="AC2" t="s">
        <v>31</v>
      </c>
      <c r="AD2" t="s">
        <v>32</v>
      </c>
      <c r="AF2" t="s">
        <v>31</v>
      </c>
      <c r="AG2" t="str">
        <f>AF19</f>
        <v>.OMXS30</v>
      </c>
    </row>
    <row r="3" spans="1:34" x14ac:dyDescent="0.35">
      <c r="A3" t="str">
        <f>main!$B$20&amp; "ONZ=R"</f>
        <v>EURONZ=R</v>
      </c>
      <c r="B3" t="s">
        <v>33</v>
      </c>
      <c r="C3" s="3">
        <f>_xll.RtGet("IDN",A3,"GV1_DATE")</f>
        <v>45617</v>
      </c>
      <c r="D3" s="3">
        <f>_xll.RtGet("IDN",A3,"MATUR_DATE")</f>
        <v>45618</v>
      </c>
      <c r="E3" s="3">
        <f t="shared" ref="E3:E66" si="0">IF(ISNUMBER(D4),D4,E4)</f>
        <v>45621</v>
      </c>
      <c r="F3">
        <f>_xll.RtGet("IDN",A3,"SEC_ACT_1")</f>
        <v>0.99991111899999996</v>
      </c>
      <c r="H3" t="s">
        <v>5</v>
      </c>
      <c r="I3" t="str">
        <f>_xll.RtGet("IDN",I2,"CURRENCY")</f>
        <v>EUR</v>
      </c>
      <c r="K3" t="s">
        <v>5</v>
      </c>
      <c r="L3" t="str">
        <f>_xll.RtGet("IDN",L2,"CURRENCY")</f>
        <v>EUR</v>
      </c>
      <c r="O3" s="6" t="s">
        <v>5</v>
      </c>
      <c r="P3" t="str">
        <f>main!$B$9</f>
        <v>EUR</v>
      </c>
      <c r="V3" t="s">
        <v>21</v>
      </c>
      <c r="W3" t="str">
        <f>VLOOKUP(W2,tables!D2:T98,7,FALSE)</f>
        <v>EURIBOR6MD=</v>
      </c>
      <c r="Y3" t="s">
        <v>34</v>
      </c>
      <c r="Z3" t="str">
        <f>Z2&amp;"IRS"</f>
        <v>EURIRS</v>
      </c>
      <c r="AC3" t="s">
        <v>35</v>
      </c>
      <c r="AD3">
        <f>_xll.RtGet("IDN",AD2,"TRDPRC_1")</f>
        <v>2482.0410000000002</v>
      </c>
      <c r="AF3" t="s">
        <v>35</v>
      </c>
      <c r="AG3">
        <f>_xll.RtGet("IDN",AG2,"TRDPRC_1")</f>
        <v>2482.0410000000002</v>
      </c>
    </row>
    <row r="4" spans="1:34" x14ac:dyDescent="0.35">
      <c r="A4" t="str">
        <f>main!$B$20 &amp; "TNZ=R"</f>
        <v>EURTNZ=R</v>
      </c>
      <c r="B4" t="s">
        <v>36</v>
      </c>
      <c r="C4" s="3">
        <f>_xll.RtGet("IDN",A4,"GV1_DATE")</f>
        <v>45617</v>
      </c>
      <c r="D4" s="3">
        <f>_xll.RtGet("IDN",A4,"MATUR_DATE")</f>
        <v>45621</v>
      </c>
      <c r="E4" s="3">
        <f t="shared" si="0"/>
        <v>45628</v>
      </c>
      <c r="F4">
        <f>_xll.RtGet("IDN",A4,"SEC_ACT_1")</f>
        <v>0.99964592299999999</v>
      </c>
      <c r="O4" s="7" t="s">
        <v>6</v>
      </c>
      <c r="P4" s="3">
        <f>main!B17</f>
        <v>45593</v>
      </c>
      <c r="R4" s="12" t="s">
        <v>37</v>
      </c>
      <c r="S4" s="12" t="s">
        <v>38</v>
      </c>
      <c r="T4" s="12" t="s">
        <v>39</v>
      </c>
      <c r="V4" t="str">
        <f>_xll.RHistory($W$3,".Timestamp;.Close","NBROWS:200 INTERVAL:1D",,"TSREPEAT:NO CH:Fd",V5)</f>
        <v>Updated at 11:14:00</v>
      </c>
      <c r="Y4" t="str">
        <f>_xll.TR($Z$3,"CF_BID;CF_ASK","CH=Fd RH=IN",Y5)</f>
        <v>Updated at 12:49:56</v>
      </c>
      <c r="AC4" t="s">
        <v>25</v>
      </c>
      <c r="AD4" t="str">
        <f>AC20</f>
        <v>OMXS30F5</v>
      </c>
      <c r="AF4" t="s">
        <v>25</v>
      </c>
      <c r="AG4" t="str">
        <f>AF42</f>
        <v>S30244000A5.ST</v>
      </c>
    </row>
    <row r="5" spans="1:34" x14ac:dyDescent="0.35">
      <c r="A5" t="str">
        <f>main!$B$20 &amp; B5 &amp; "Z=R"</f>
        <v>EUR1WZ=R</v>
      </c>
      <c r="B5" t="s">
        <v>40</v>
      </c>
      <c r="C5" s="3">
        <f>_xll.RtGet("IDN",A5,"GV1_DATE")</f>
        <v>45617</v>
      </c>
      <c r="D5" s="3">
        <f>_xll.RtGet("IDN",A5,"MATUR_DATE")</f>
        <v>45628</v>
      </c>
      <c r="E5" s="3">
        <f t="shared" si="0"/>
        <v>45653</v>
      </c>
      <c r="F5">
        <f>_xll.RtGet("IDN",A5,"SEC_ACT_1")</f>
        <v>0.99903575899999997</v>
      </c>
      <c r="H5" s="3" t="s">
        <v>6</v>
      </c>
      <c r="I5" s="3">
        <f ca="1">main!$B$10</f>
        <v>45691</v>
      </c>
      <c r="K5" s="3" t="s">
        <v>6</v>
      </c>
      <c r="L5" s="3">
        <f ca="1">main!$B$10</f>
        <v>45691</v>
      </c>
      <c r="M5" s="3"/>
      <c r="O5" s="7" t="s">
        <v>41</v>
      </c>
      <c r="P5" s="3" cm="1">
        <f t="array" ref="P5">settlementDate(P4,"SETTLE:2WD dummy:1")</f>
        <v>45595</v>
      </c>
      <c r="R5" s="13">
        <v>45617</v>
      </c>
      <c r="S5">
        <v>2.2389999999999999</v>
      </c>
      <c r="T5">
        <v>2.25</v>
      </c>
      <c r="V5" s="13" t="s">
        <v>37</v>
      </c>
      <c r="W5" s="12" t="s">
        <v>42</v>
      </c>
      <c r="Y5" s="3"/>
      <c r="Z5" s="12" t="s">
        <v>43</v>
      </c>
      <c r="AA5" s="12" t="s">
        <v>44</v>
      </c>
      <c r="AC5" t="s">
        <v>6</v>
      </c>
      <c r="AD5" s="3">
        <f ca="1">main!$B$10</f>
        <v>45691</v>
      </c>
      <c r="AF5" t="s">
        <v>6</v>
      </c>
      <c r="AG5" s="3">
        <f ca="1">main!$B$10</f>
        <v>45691</v>
      </c>
    </row>
    <row r="6" spans="1:34" x14ac:dyDescent="0.35">
      <c r="A6" t="str">
        <f>main!$B$20 &amp; B6 &amp; "Z=R"</f>
        <v>EUR1MZ=R</v>
      </c>
      <c r="B6" t="s">
        <v>45</v>
      </c>
      <c r="C6" s="3">
        <f>_xll.RtGet("IDN",A6,"GV1_DATE")</f>
        <v>45617</v>
      </c>
      <c r="D6" s="3">
        <f>_xll.RtGet("IDN",A6,"MATUR_DATE")</f>
        <v>45653</v>
      </c>
      <c r="E6" s="3">
        <f t="shared" si="0"/>
        <v>45684</v>
      </c>
      <c r="F6">
        <f>_xll.RtGet("IDN",A6,"SEC_ACT_1")</f>
        <v>0.99691746800000003</v>
      </c>
      <c r="H6" s="3" t="s">
        <v>41</v>
      </c>
      <c r="I6" s="3">
        <f>_xll.RtGet("IDN",I2,"SETTLEDATE")</f>
        <v>45621</v>
      </c>
      <c r="K6" s="3" t="s">
        <v>41</v>
      </c>
      <c r="L6" s="3">
        <f>_xll.RtGet("IDN",L2,"SETTLEDATE")</f>
        <v>45621</v>
      </c>
      <c r="M6" s="3"/>
      <c r="R6" s="3">
        <v>45616</v>
      </c>
      <c r="S6">
        <v>2.246</v>
      </c>
      <c r="T6">
        <v>2.2559999999999998</v>
      </c>
      <c r="V6" s="13">
        <v>45616</v>
      </c>
      <c r="W6">
        <v>2.7610000000000001</v>
      </c>
      <c r="Y6" s="13" t="s">
        <v>46</v>
      </c>
      <c r="Z6" s="12" t="s">
        <v>47</v>
      </c>
      <c r="AA6" s="12" t="s">
        <v>47</v>
      </c>
      <c r="AC6" t="s">
        <v>13</v>
      </c>
      <c r="AD6" s="3">
        <f>_xll.RtGet("IDN",AD4,"EXPIR_DATE")</f>
        <v>45674</v>
      </c>
      <c r="AF6" t="s">
        <v>13</v>
      </c>
      <c r="AG6" s="3">
        <f>_xll.RtGet("IDN",AG4,"EXPIR_DATE")</f>
        <v>45674</v>
      </c>
    </row>
    <row r="7" spans="1:34" x14ac:dyDescent="0.35">
      <c r="A7" t="str">
        <f>main!$B$20 &amp; B7 &amp; "Z=R"</f>
        <v>EUR2MZ=R</v>
      </c>
      <c r="B7" t="s">
        <v>48</v>
      </c>
      <c r="C7" s="3">
        <f>_xll.RtGet("IDN",A7,"GV1_DATE")</f>
        <v>45617</v>
      </c>
      <c r="D7" s="3">
        <f>_xll.RtGet("IDN",A7,"MATUR_DATE")</f>
        <v>45684</v>
      </c>
      <c r="E7" s="3">
        <f t="shared" si="0"/>
        <v>45713</v>
      </c>
      <c r="F7">
        <f>_xll.RtGet("IDN",A7,"SEC_ACT_1")</f>
        <v>0.99431760400000002</v>
      </c>
      <c r="H7" s="3" t="s">
        <v>49</v>
      </c>
      <c r="I7" s="3">
        <f>_xll.RtGet("IDN",I2,"MATUR_DATE")</f>
        <v>45638</v>
      </c>
      <c r="K7" s="3" t="s">
        <v>50</v>
      </c>
      <c r="L7" s="3">
        <f>_xll.RtGet("IDN",L2,"MATUR_DATE")</f>
        <v>46366</v>
      </c>
      <c r="M7" s="3"/>
      <c r="O7" s="7"/>
      <c r="P7" s="3"/>
      <c r="R7" s="3">
        <v>45615</v>
      </c>
      <c r="S7">
        <v>2.2290000000000001</v>
      </c>
      <c r="T7">
        <v>2.2389999999999999</v>
      </c>
      <c r="V7" s="3">
        <v>45615</v>
      </c>
      <c r="W7">
        <v>2.7429999999999999</v>
      </c>
      <c r="Y7" s="13" t="s">
        <v>51</v>
      </c>
      <c r="Z7" s="12" t="s">
        <v>47</v>
      </c>
      <c r="AA7" s="12" t="s">
        <v>47</v>
      </c>
      <c r="AC7" t="s">
        <v>52</v>
      </c>
      <c r="AD7">
        <f ca="1">AD6-AD5</f>
        <v>-17</v>
      </c>
      <c r="AF7" t="s">
        <v>53</v>
      </c>
      <c r="AG7" t="e">
        <f ca="1">_xll.DfCountWD("SWE",AG5,AG6)+1</f>
        <v>#NAME?</v>
      </c>
    </row>
    <row r="8" spans="1:34" ht="15" thickBot="1" x14ac:dyDescent="0.4">
      <c r="A8" t="str">
        <f>main!$B$20 &amp; B8 &amp; "Z=R"</f>
        <v>EUR3MZ=R</v>
      </c>
      <c r="B8" t="s">
        <v>54</v>
      </c>
      <c r="C8" s="3">
        <f>_xll.RtGet("IDN",A8,"GV1_DATE")</f>
        <v>45617</v>
      </c>
      <c r="D8" s="3">
        <f>_xll.RtGet("IDN",A8,"MATUR_DATE")</f>
        <v>45713</v>
      </c>
      <c r="E8" s="3">
        <f t="shared" si="0"/>
        <v>45803</v>
      </c>
      <c r="F8">
        <f>_xll.RtGet("IDN",A8,"SEC_ACT_1")</f>
        <v>0.99202769800000001</v>
      </c>
      <c r="H8" t="s">
        <v>55</v>
      </c>
      <c r="I8">
        <f>_xll.RtGet("IDN",I2,"RT_YIELD_1")/100</f>
        <v>3.1899999999999998E-2</v>
      </c>
      <c r="K8" t="s">
        <v>56</v>
      </c>
      <c r="L8">
        <f>_xll.RtGet("IDN",L2,"COUPN_RATE")/100</f>
        <v>0.02</v>
      </c>
      <c r="O8" s="7"/>
      <c r="P8" s="3"/>
      <c r="R8" s="3">
        <v>45614</v>
      </c>
      <c r="S8">
        <v>2.2269999999999999</v>
      </c>
      <c r="T8">
        <v>2.2370000000000001</v>
      </c>
      <c r="V8" s="3">
        <v>45614</v>
      </c>
      <c r="W8">
        <v>2.7349999999999999</v>
      </c>
      <c r="Y8" s="13" t="s">
        <v>57</v>
      </c>
      <c r="Z8" s="12" t="s">
        <v>58</v>
      </c>
      <c r="AA8" s="12" t="s">
        <v>58</v>
      </c>
      <c r="AC8" t="s">
        <v>55</v>
      </c>
      <c r="AD8">
        <f>_xll.RtGet("IDN",AD4,"BID")</f>
        <v>2495.75</v>
      </c>
      <c r="AF8" t="s">
        <v>59</v>
      </c>
      <c r="AG8">
        <f>_xll.RtGet("IDN",AG4,"STRIKE_PRC")</f>
        <v>2440</v>
      </c>
    </row>
    <row r="9" spans="1:34" x14ac:dyDescent="0.35">
      <c r="A9" t="str">
        <f>main!$B$20 &amp; B9 &amp; "Z=R"</f>
        <v>EUR6MZ=R</v>
      </c>
      <c r="B9" t="s">
        <v>60</v>
      </c>
      <c r="C9" s="3">
        <f>_xll.RtGet("IDN",A9,"GV1_DATE")</f>
        <v>45617</v>
      </c>
      <c r="D9" s="3">
        <f>_xll.RtGet("IDN",A9,"MATUR_DATE")</f>
        <v>45803</v>
      </c>
      <c r="E9" s="3">
        <f t="shared" si="0"/>
        <v>45894</v>
      </c>
      <c r="F9">
        <f>_xll.RtGet("IDN",A9,"SEC_ACT_1")</f>
        <v>0.98580100199999998</v>
      </c>
      <c r="H9" t="s">
        <v>61</v>
      </c>
      <c r="I9">
        <f>_xll.RtGet("IDN",I2,"SEC_YLD_1")/100</f>
        <v>2.3029999999999998E-2</v>
      </c>
      <c r="K9" t="s">
        <v>62</v>
      </c>
      <c r="L9">
        <f>_xll.RtGet("IDN",L2,"RT_YIELD_1")/100</f>
        <v>2.1110000000000004E-2</v>
      </c>
      <c r="O9" s="8"/>
      <c r="P9" s="9"/>
      <c r="R9" s="3">
        <v>45611</v>
      </c>
      <c r="S9">
        <v>2.1779999999999999</v>
      </c>
      <c r="T9">
        <v>2.1880000000000002</v>
      </c>
      <c r="V9" s="3">
        <v>45611</v>
      </c>
      <c r="W9">
        <v>2.7480000000000002</v>
      </c>
      <c r="Y9" s="13" t="s">
        <v>63</v>
      </c>
      <c r="Z9" s="12">
        <v>2.4689999999999999</v>
      </c>
      <c r="AA9">
        <v>2.48</v>
      </c>
      <c r="AC9" t="s">
        <v>61</v>
      </c>
      <c r="AD9">
        <f>_xll.RtGet("IDN",AD4,"ASK")</f>
        <v>2496.25</v>
      </c>
      <c r="AF9" t="s">
        <v>64</v>
      </c>
      <c r="AG9" t="str">
        <f>_xll.RtGet("IDN",AG4,"PUTCALLIND")</f>
        <v>C-EU</v>
      </c>
    </row>
    <row r="10" spans="1:34" x14ac:dyDescent="0.35">
      <c r="A10" t="str">
        <f>main!$B$20 &amp; B10 &amp; "Z=R"</f>
        <v>EUR9MZ=R</v>
      </c>
      <c r="B10" t="s">
        <v>65</v>
      </c>
      <c r="C10" s="3">
        <f>_xll.RtGet("IDN",A10,"GV1_DATE")</f>
        <v>45617</v>
      </c>
      <c r="D10" s="3">
        <f>_xll.RtGet("IDN",A10,"MATUR_DATE")</f>
        <v>45894</v>
      </c>
      <c r="E10" s="3">
        <f t="shared" si="0"/>
        <v>45986</v>
      </c>
      <c r="F10">
        <f>_xll.RtGet("IDN",A10,"SEC_ACT_1")</f>
        <v>0.98014655399999995</v>
      </c>
      <c r="H10" s="3" t="s">
        <v>66</v>
      </c>
      <c r="I10">
        <f>_xll.RtGet("IDN",I2,"PRIMACT_1")</f>
        <v>99.950999999999993</v>
      </c>
      <c r="K10" t="s">
        <v>67</v>
      </c>
      <c r="L10">
        <f>_xll.RtGet("IDN",L2,"SEC_YLD_1")/100</f>
        <v>2.094E-2</v>
      </c>
      <c r="O10" s="6" t="s">
        <v>68</v>
      </c>
      <c r="P10" s="10" t="str">
        <f>VLOOKUP(main!B7,tables!A2:T98,10,)</f>
        <v>EURIBOR6MD=</v>
      </c>
      <c r="R10" s="3">
        <v>45610</v>
      </c>
      <c r="S10">
        <v>2.1680000000000001</v>
      </c>
      <c r="T10">
        <v>2.1779999999999999</v>
      </c>
      <c r="V10" s="3">
        <v>45610</v>
      </c>
      <c r="W10">
        <v>2.7650000000000001</v>
      </c>
      <c r="Y10" s="13" t="s">
        <v>69</v>
      </c>
      <c r="Z10" s="12">
        <v>2.2829000000000002</v>
      </c>
      <c r="AA10">
        <v>2.2896999999999998</v>
      </c>
      <c r="AF10" t="s">
        <v>55</v>
      </c>
      <c r="AG10">
        <f>_xll.RtGet("IDN",AG4,"BID")</f>
        <v>92.75</v>
      </c>
    </row>
    <row r="11" spans="1:34" x14ac:dyDescent="0.35">
      <c r="A11" t="str">
        <f>main!$B$20 &amp; B11 &amp; "Z=R"</f>
        <v>EUR1YZ=R</v>
      </c>
      <c r="B11" t="s">
        <v>70</v>
      </c>
      <c r="C11" s="3">
        <f>_xll.RtGet("IDN",A11,"GV1_DATE")</f>
        <v>45617</v>
      </c>
      <c r="D11" s="3">
        <f>_xll.RtGet("IDN",A11,"MATUR_DATE")</f>
        <v>45986</v>
      </c>
      <c r="E11" s="3">
        <f t="shared" si="0"/>
        <v>46078</v>
      </c>
      <c r="F11">
        <f>_xll.RtGet("IDN",A11,"SEC_ACT_1")</f>
        <v>0.97541551000000004</v>
      </c>
      <c r="H11" s="3" t="s">
        <v>71</v>
      </c>
      <c r="I11">
        <f>_xll.RtGet("IDN",I2,"SEC_ACT_1")</f>
        <v>99.992999999999995</v>
      </c>
      <c r="K11" t="s">
        <v>72</v>
      </c>
      <c r="L11">
        <f>_xll.RtGet("IDN",L2,"PRIMACT_1")</f>
        <v>99.775000000000006</v>
      </c>
      <c r="O11" s="6" t="s">
        <v>73</v>
      </c>
      <c r="P11" s="3" t="str">
        <f>main!$B$16</f>
        <v>EUR_AB6E</v>
      </c>
      <c r="R11" s="3">
        <v>45609</v>
      </c>
      <c r="S11">
        <v>2.2450000000000001</v>
      </c>
      <c r="T11">
        <v>2.2549999999999999</v>
      </c>
      <c r="V11" s="3">
        <v>45609</v>
      </c>
      <c r="W11">
        <v>2.7789999999999999</v>
      </c>
      <c r="Y11" s="13" t="s">
        <v>74</v>
      </c>
      <c r="Z11" s="12">
        <v>2.262</v>
      </c>
      <c r="AA11">
        <v>2.2730000000000001</v>
      </c>
      <c r="AF11" t="s">
        <v>61</v>
      </c>
      <c r="AG11">
        <f>_xll.RtGet("IDN",AG4,"ASK")</f>
        <v>97.5</v>
      </c>
    </row>
    <row r="12" spans="1:34" x14ac:dyDescent="0.35">
      <c r="A12" t="str">
        <f>main!$B$20 &amp; B12 &amp; "Z=R"</f>
        <v>EUR1Y3MZ=R</v>
      </c>
      <c r="B12" t="s">
        <v>75</v>
      </c>
      <c r="C12" s="3">
        <f>_xll.RtGet("IDN",A12,"GV1_DATE")</f>
        <v>45617</v>
      </c>
      <c r="D12" s="3">
        <f>_xll.RtGet("IDN",A12,"MATUR_DATE")</f>
        <v>46078</v>
      </c>
      <c r="E12" s="3">
        <f t="shared" si="0"/>
        <v>46167</v>
      </c>
      <c r="F12">
        <f>_xll.RtGet("IDN",A12,"SEC_ACT_1")</f>
        <v>0.97060566299999995</v>
      </c>
      <c r="H12" s="3" t="s">
        <v>76</v>
      </c>
      <c r="I12" t="str">
        <f>_xll.RtGet("IDN",I2,"PRC_QL3")</f>
        <v>PXC</v>
      </c>
      <c r="K12" t="s">
        <v>77</v>
      </c>
      <c r="L12">
        <f>_xll.RtGet("IDN",L2,"SEC_ACT_1")</f>
        <v>99.81</v>
      </c>
      <c r="O12" s="6" t="s">
        <v>13</v>
      </c>
      <c r="P12" s="3" t="str">
        <f>main!B18</f>
        <v>4Y</v>
      </c>
      <c r="R12" s="3">
        <v>45608</v>
      </c>
      <c r="S12">
        <v>2.2280000000000002</v>
      </c>
      <c r="T12">
        <v>2.238</v>
      </c>
      <c r="V12" s="3">
        <v>45608</v>
      </c>
      <c r="W12">
        <v>2.7970000000000002</v>
      </c>
      <c r="Y12" s="13" t="s">
        <v>78</v>
      </c>
      <c r="Z12" s="12">
        <v>2.2389999999999999</v>
      </c>
      <c r="AA12">
        <v>2.25</v>
      </c>
    </row>
    <row r="13" spans="1:34" x14ac:dyDescent="0.35">
      <c r="A13" t="str">
        <f>main!$B$20 &amp; B13 &amp; "Z=R"</f>
        <v>EUR1Y6MZ=R</v>
      </c>
      <c r="B13" t="s">
        <v>79</v>
      </c>
      <c r="C13" s="3">
        <f>_xll.RtGet("IDN",A13,"GV1_DATE")</f>
        <v>45617</v>
      </c>
      <c r="D13" s="3">
        <f>_xll.RtGet("IDN",A13,"MATUR_DATE")</f>
        <v>46167</v>
      </c>
      <c r="E13" s="3">
        <f t="shared" si="0"/>
        <v>46259</v>
      </c>
      <c r="F13">
        <f>_xll.RtGet("IDN",A13,"SEC_ACT_1")</f>
        <v>0.96600112000000005</v>
      </c>
      <c r="M13" s="3"/>
      <c r="O13" s="6"/>
      <c r="Q13" s="11" t="s">
        <v>80</v>
      </c>
      <c r="R13" s="3">
        <v>45607</v>
      </c>
      <c r="S13">
        <v>2.2080000000000002</v>
      </c>
      <c r="T13">
        <v>2.218</v>
      </c>
      <c r="V13" s="3">
        <v>45607</v>
      </c>
      <c r="W13">
        <v>2.831</v>
      </c>
      <c r="Y13" s="13" t="s">
        <v>81</v>
      </c>
      <c r="Z13" s="12">
        <v>2.2490000000000001</v>
      </c>
      <c r="AA13">
        <v>2.258</v>
      </c>
    </row>
    <row r="14" spans="1:34" x14ac:dyDescent="0.35">
      <c r="A14" t="str">
        <f>main!$B$20 &amp; B14 &amp; "Z=R"</f>
        <v>EUR1Y9MZ=R</v>
      </c>
      <c r="B14" t="s">
        <v>82</v>
      </c>
      <c r="C14" s="3">
        <f>_xll.RtGet("IDN",A14,"GV1_DATE")</f>
        <v>45617</v>
      </c>
      <c r="D14" s="3">
        <f>_xll.RtGet("IDN",A14,"MATUR_DATE")</f>
        <v>46259</v>
      </c>
      <c r="E14" s="3">
        <f t="shared" si="0"/>
        <v>46351</v>
      </c>
      <c r="F14">
        <f>_xll.RtGet("IDN",A14,"SEC_ACT_1")</f>
        <v>0.96101283800000004</v>
      </c>
      <c r="H14" t="str">
        <f>_xll.RDP.Data($I$2,"TR.ADF_BONDSTRUCTURE","TRANSPOSE:YES",I15)</f>
        <v>Updated at 10:22:35</v>
      </c>
      <c r="J14" s="11" t="s">
        <v>80</v>
      </c>
      <c r="K14" t="str">
        <f>_xll.RDP.Data($L$2,"TR.ADF_BONDSTRUCTURE","TRANSPOSE:YES",L15)</f>
        <v>Updated at 10:40:37</v>
      </c>
      <c r="N14" s="11" t="s">
        <v>80</v>
      </c>
      <c r="R14" s="3">
        <v>45604</v>
      </c>
      <c r="S14">
        <v>2.25</v>
      </c>
      <c r="T14">
        <v>2.2599999999999998</v>
      </c>
      <c r="V14" s="3">
        <v>45604</v>
      </c>
      <c r="W14">
        <v>2.8220000000000001</v>
      </c>
      <c r="X14" s="11" t="s">
        <v>80</v>
      </c>
      <c r="Y14" s="13" t="s">
        <v>83</v>
      </c>
      <c r="Z14" s="12">
        <v>2.2629999999999999</v>
      </c>
      <c r="AA14">
        <v>2.27</v>
      </c>
      <c r="AB14" s="11" t="s">
        <v>80</v>
      </c>
      <c r="AH14" s="11" t="s">
        <v>80</v>
      </c>
    </row>
    <row r="15" spans="1:34" x14ac:dyDescent="0.35">
      <c r="A15" t="str">
        <f>main!$B$20 &amp; B15 &amp; "Z=R"</f>
        <v>EUR2YZ=R</v>
      </c>
      <c r="B15" t="s">
        <v>84</v>
      </c>
      <c r="C15" s="3">
        <f>_xll.RtGet("IDN",A15,"GV1_DATE")</f>
        <v>45617</v>
      </c>
      <c r="D15" s="3">
        <f>_xll.RtGet("IDN",A15,"MATUR_DATE")</f>
        <v>46351</v>
      </c>
      <c r="E15" s="3">
        <f t="shared" si="0"/>
        <v>46443</v>
      </c>
      <c r="F15">
        <f>_xll.RtGet("IDN",A15,"SEC_ACT_1")</f>
        <v>0.95584493299999995</v>
      </c>
      <c r="H15" s="3" t="s">
        <v>85</v>
      </c>
      <c r="I15" s="12" t="s">
        <v>86</v>
      </c>
      <c r="K15" s="3" t="s">
        <v>85</v>
      </c>
      <c r="L15" s="12" t="s">
        <v>87</v>
      </c>
      <c r="R15" s="3">
        <v>45603</v>
      </c>
      <c r="S15">
        <v>2.2879999999999998</v>
      </c>
      <c r="T15">
        <v>2.298</v>
      </c>
      <c r="V15" s="3">
        <v>45603</v>
      </c>
      <c r="W15">
        <v>2.8580000000000001</v>
      </c>
      <c r="Y15" s="13" t="s">
        <v>88</v>
      </c>
      <c r="Z15" s="12">
        <v>2.2770000000000001</v>
      </c>
      <c r="AA15">
        <v>2.2839999999999998</v>
      </c>
    </row>
    <row r="16" spans="1:34" x14ac:dyDescent="0.35">
      <c r="A16" t="str">
        <f>main!$B$20 &amp; B16 &amp; "Z=R"</f>
        <v>EUR2Y3MZ=R</v>
      </c>
      <c r="B16" t="s">
        <v>89</v>
      </c>
      <c r="C16" s="3">
        <f>_xll.RtGet("IDN",A16,"GV1_DATE")</f>
        <v>45617</v>
      </c>
      <c r="D16" s="3">
        <f>_xll.RtGet("IDN",A16,"MATUR_DATE")</f>
        <v>46443</v>
      </c>
      <c r="E16" s="3">
        <f t="shared" si="0"/>
        <v>46532</v>
      </c>
      <c r="F16">
        <f>_xll.RtGet("IDN",A16,"SEC_ACT_1")</f>
        <v>0.95065900000000003</v>
      </c>
      <c r="H16" s="3" t="s">
        <v>90</v>
      </c>
      <c r="I16" t="str">
        <f>parseStructure(I15,"ACC:")</f>
        <v>AA</v>
      </c>
      <c r="K16" t="s">
        <v>91</v>
      </c>
      <c r="L16" t="str">
        <f>REPLACE(L15,FIND("DMC:",L15)+LEN("DMC:"),FIND(" ",L15,FIND("DMC:",L15)+LEN("DMC:"))-(FIND("DMC:",L15)+LEN("DMC:")),"NONE")</f>
        <v xml:space="preserve">ACC:AA CCM:BBAA CFADJ:NO CLDR:EMU_FI DATED:24OCT2024 DMC:NONE EMC:S FRCD:10DEC2025 FRQ:1 ISSUE:24OCT2024 NOTIONAL:1 PX:C PXRND:1E-5:NEAR REFDATE:MATURITY RP:1 SETTLE:2WD XD:NO </v>
      </c>
      <c r="R16" s="3">
        <v>45602</v>
      </c>
      <c r="S16">
        <v>2.2789999999999999</v>
      </c>
      <c r="T16">
        <v>2.2890000000000001</v>
      </c>
      <c r="V16" s="3">
        <v>45602</v>
      </c>
      <c r="W16">
        <v>2.9159999999999999</v>
      </c>
      <c r="Y16" s="13" t="s">
        <v>92</v>
      </c>
      <c r="Z16" s="12">
        <v>2.2930000000000001</v>
      </c>
      <c r="AA16">
        <v>2.2999999999999998</v>
      </c>
    </row>
    <row r="17" spans="1:32" x14ac:dyDescent="0.35">
      <c r="A17" t="str">
        <f>main!$B$20 &amp; B17 &amp; "Z=R"</f>
        <v>EUR2Y6MZ=R</v>
      </c>
      <c r="B17" t="s">
        <v>93</v>
      </c>
      <c r="C17" s="3">
        <f>_xll.RtGet("IDN",A17,"GV1_DATE")</f>
        <v>45617</v>
      </c>
      <c r="D17" s="3">
        <f>_xll.RtGet("IDN",A17,"MATUR_DATE")</f>
        <v>46532</v>
      </c>
      <c r="E17" s="3">
        <f t="shared" si="0"/>
        <v>46624</v>
      </c>
      <c r="F17">
        <f>_xll.RtGet("IDN",A17,"SEC_ACT_1")</f>
        <v>0.94564794699999999</v>
      </c>
      <c r="H17" t="s">
        <v>94</v>
      </c>
      <c r="I17" t="str">
        <f>VLOOKUP(I16,tables!V2:W98,2,FALSE)</f>
        <v>Act/Act</v>
      </c>
      <c r="K17" t="s">
        <v>95</v>
      </c>
      <c r="L17" s="87">
        <v>45589</v>
      </c>
      <c r="M17" s="3"/>
      <c r="O17" s="6" t="s">
        <v>96</v>
      </c>
      <c r="R17" s="3">
        <v>45601</v>
      </c>
      <c r="S17">
        <v>2.419</v>
      </c>
      <c r="T17">
        <v>2.4289999999999998</v>
      </c>
      <c r="V17" s="3">
        <v>45601</v>
      </c>
      <c r="W17">
        <v>2.923</v>
      </c>
      <c r="Y17" s="13" t="s">
        <v>97</v>
      </c>
      <c r="Z17" s="12">
        <v>2.2999999999999998</v>
      </c>
      <c r="AA17">
        <v>2.3199999999999998</v>
      </c>
      <c r="AC17" s="5" t="s">
        <v>98</v>
      </c>
      <c r="AF17" s="5" t="s">
        <v>99</v>
      </c>
    </row>
    <row r="18" spans="1:32" ht="15.5" x14ac:dyDescent="0.35">
      <c r="A18" t="str">
        <f>main!$B$20 &amp; B18 &amp; "Z=R"</f>
        <v>EUR2Y9MZ=R</v>
      </c>
      <c r="B18" t="s">
        <v>100</v>
      </c>
      <c r="C18" s="3">
        <f>_xll.RtGet("IDN",A18,"GV1_DATE")</f>
        <v>45617</v>
      </c>
      <c r="D18" s="3">
        <f>_xll.RtGet("IDN",A18,"MATUR_DATE")</f>
        <v>46624</v>
      </c>
      <c r="E18" s="3">
        <f t="shared" si="0"/>
        <v>46716</v>
      </c>
      <c r="F18">
        <f>_xll.RtGet("IDN",A18,"SEC_ACT_1")</f>
        <v>0.94046347699999999</v>
      </c>
      <c r="K18" t="s">
        <v>101</v>
      </c>
      <c r="L18" s="3">
        <f>_xll.RtGet("IDN",L2,"COUPN_DATE")</f>
        <v>46001</v>
      </c>
      <c r="M18" s="3"/>
      <c r="O18" s="102">
        <v>45950.625</v>
      </c>
      <c r="P18">
        <v>1.0054794520547945</v>
      </c>
      <c r="R18" s="3">
        <v>45600</v>
      </c>
      <c r="S18">
        <v>2.375</v>
      </c>
      <c r="T18">
        <v>2.3849999999999998</v>
      </c>
      <c r="V18" s="3">
        <v>45600</v>
      </c>
      <c r="W18">
        <v>2.9159999999999999</v>
      </c>
      <c r="Y18" s="13" t="s">
        <v>102</v>
      </c>
      <c r="Z18" s="12">
        <v>2.3260000000000001</v>
      </c>
      <c r="AA18">
        <v>2.3330000000000002</v>
      </c>
      <c r="AC18" t="str" cm="1">
        <f t="array" ref="AC18">_xll.RDP.Data(AC17,"","CH=Fd RH=IN",AC19)</f>
        <v>Updated at 09:16:13</v>
      </c>
      <c r="AF18" t="str" cm="1">
        <f t="array" ref="AF18">_xll.RDP.Data(AF17,"","CH=Fd RH=IN",AF19)</f>
        <v>Updated at 09:16:14</v>
      </c>
    </row>
    <row r="19" spans="1:32" ht="15.5" x14ac:dyDescent="0.35">
      <c r="A19" t="str">
        <f>main!$B$20 &amp; B19 &amp; "Z=R"</f>
        <v>EUR3YZ=R</v>
      </c>
      <c r="B19" t="s">
        <v>103</v>
      </c>
      <c r="C19" s="3">
        <f>_xll.RtGet("IDN",A19,"GV1_DATE")</f>
        <v>45617</v>
      </c>
      <c r="D19" s="3">
        <f>_xll.RtGet("IDN",A19,"MATUR_DATE")</f>
        <v>46716</v>
      </c>
      <c r="E19" s="3">
        <f t="shared" si="0"/>
        <v>46808</v>
      </c>
      <c r="F19">
        <f>_xll.RtGet("IDN",A19,"SEC_ACT_1")</f>
        <v>0.93526378600000004</v>
      </c>
      <c r="K19" t="s">
        <v>104</v>
      </c>
      <c r="L19" s="3">
        <f>_xll.RtGet("IDN",L2,"COUPN_DATE")</f>
        <v>46001</v>
      </c>
      <c r="O19" s="102">
        <v>46314.625</v>
      </c>
      <c r="P19">
        <v>0.99726027397260275</v>
      </c>
      <c r="R19" s="3">
        <v>45597</v>
      </c>
      <c r="S19">
        <v>2.367</v>
      </c>
      <c r="T19">
        <v>2.371</v>
      </c>
      <c r="V19" s="3">
        <v>45597</v>
      </c>
      <c r="W19">
        <v>2.9119999999999999</v>
      </c>
      <c r="Y19" s="13" t="s">
        <v>105</v>
      </c>
      <c r="Z19" s="12">
        <v>2.3250000000000002</v>
      </c>
      <c r="AA19">
        <v>2.3660000000000001</v>
      </c>
      <c r="AC19" s="12" t="s">
        <v>106</v>
      </c>
      <c r="AF19" s="12" t="s">
        <v>32</v>
      </c>
    </row>
    <row r="20" spans="1:32" ht="15.5" x14ac:dyDescent="0.35">
      <c r="A20" t="str">
        <f>main!$B$20 &amp; B20 &amp; "Z=R"</f>
        <v>EUR3Y3MZ=R</v>
      </c>
      <c r="B20" t="s">
        <v>107</v>
      </c>
      <c r="C20" s="3">
        <f>_xll.RtGet("IDN",A20,"GV1_DATE")</f>
        <v>45617</v>
      </c>
      <c r="D20" s="3">
        <f>_xll.RtGet("IDN",A20,"MATUR_DATE")</f>
        <v>46808</v>
      </c>
      <c r="E20" s="3">
        <f t="shared" si="0"/>
        <v>46898</v>
      </c>
      <c r="F20">
        <f>_xll.RtGet("IDN",A20,"SEC_ACT_1")</f>
        <v>0.93004145199999999</v>
      </c>
      <c r="K20" t="s">
        <v>108</v>
      </c>
      <c r="L20" t="str">
        <f>parseStructure(L15,"DATED:")</f>
        <v>24OCT2024</v>
      </c>
      <c r="O20" s="102">
        <v>46678.625</v>
      </c>
      <c r="P20">
        <v>0.99726027397260275</v>
      </c>
      <c r="R20" s="3">
        <v>45596</v>
      </c>
      <c r="S20">
        <v>2.3559999999999999</v>
      </c>
      <c r="T20">
        <v>2.3660000000000001</v>
      </c>
      <c r="V20" s="3">
        <v>45596</v>
      </c>
      <c r="W20">
        <v>2.8639999999999999</v>
      </c>
      <c r="Y20" s="13" t="s">
        <v>109</v>
      </c>
      <c r="Z20" s="12">
        <v>2.339</v>
      </c>
      <c r="AA20">
        <v>2.379</v>
      </c>
      <c r="AC20" s="12" t="s">
        <v>110</v>
      </c>
      <c r="AF20" s="12" t="s">
        <v>111</v>
      </c>
    </row>
    <row r="21" spans="1:32" x14ac:dyDescent="0.35">
      <c r="A21" t="str">
        <f>main!$B$20 &amp; B21 &amp; "Z=R"</f>
        <v>EUR3Y6MZ=R</v>
      </c>
      <c r="B21" t="s">
        <v>112</v>
      </c>
      <c r="C21" s="3">
        <f>_xll.RtGet("IDN",A21,"GV1_DATE")</f>
        <v>45617</v>
      </c>
      <c r="D21" s="3">
        <f>_xll.RtGet("IDN",A21,"MATUR_DATE")</f>
        <v>46898</v>
      </c>
      <c r="E21" s="3">
        <f t="shared" si="0"/>
        <v>46990</v>
      </c>
      <c r="F21">
        <f>_xll.RtGet("IDN",A21,"SEC_ACT_1")</f>
        <v>0.92491642299999999</v>
      </c>
      <c r="K21" t="s">
        <v>113</v>
      </c>
      <c r="L21" t="str">
        <f>parseStructure(L15,"ISSUE:")</f>
        <v>24OCT2024</v>
      </c>
      <c r="O21" s="87"/>
      <c r="P21" s="88"/>
      <c r="R21" s="3">
        <v>45595</v>
      </c>
      <c r="S21">
        <v>2.3570000000000002</v>
      </c>
      <c r="T21">
        <v>2.367</v>
      </c>
      <c r="V21" s="3">
        <v>45595</v>
      </c>
      <c r="W21">
        <v>2.867</v>
      </c>
      <c r="Y21" s="13" t="s">
        <v>114</v>
      </c>
      <c r="Z21" s="12">
        <v>2.3530000000000002</v>
      </c>
      <c r="AA21">
        <v>2.3929999999999998</v>
      </c>
      <c r="AC21" s="12" t="s">
        <v>115</v>
      </c>
      <c r="AF21" s="12" t="s">
        <v>116</v>
      </c>
    </row>
    <row r="22" spans="1:32" x14ac:dyDescent="0.35">
      <c r="A22" t="str">
        <f>main!$B$20 &amp; B22 &amp; "Z=R"</f>
        <v>EUR3Y9MZ=R</v>
      </c>
      <c r="B22" t="s">
        <v>117</v>
      </c>
      <c r="C22" s="3">
        <f>_xll.RtGet("IDN",A22,"GV1_DATE")</f>
        <v>45617</v>
      </c>
      <c r="D22" s="3">
        <f>_xll.RtGet("IDN",A22,"MATUR_DATE")</f>
        <v>46990</v>
      </c>
      <c r="E22" s="3">
        <f t="shared" si="0"/>
        <v>47084</v>
      </c>
      <c r="F22">
        <f>_xll.RtGet("IDN",A22,"SEC_ACT_1")</f>
        <v>0.91967003800000002</v>
      </c>
      <c r="K22" t="s">
        <v>118</v>
      </c>
      <c r="L22" s="52">
        <f>DATE(RIGHT(L20,4),MATCH(MID(L20,3,3),{"JAN";"FEB";"MAR";"APR";"MAY";"JUN";"JUL";"AUG";"SEP";"OCT";"NOV";"DEC"},0),LEFT(L20,2))</f>
        <v>45589</v>
      </c>
      <c r="O22" s="87"/>
      <c r="P22" s="88"/>
      <c r="R22" s="3">
        <v>45594</v>
      </c>
      <c r="S22">
        <v>2.2490000000000001</v>
      </c>
      <c r="T22">
        <v>2.2589999999999999</v>
      </c>
      <c r="V22" s="3">
        <v>45594</v>
      </c>
      <c r="W22">
        <v>2.8860000000000001</v>
      </c>
      <c r="Y22" s="13" t="s">
        <v>119</v>
      </c>
      <c r="Z22" s="12">
        <v>2.363</v>
      </c>
      <c r="AA22">
        <v>2.403</v>
      </c>
      <c r="AC22" s="12" t="s">
        <v>120</v>
      </c>
      <c r="AF22" s="12" t="s">
        <v>121</v>
      </c>
    </row>
    <row r="23" spans="1:32" x14ac:dyDescent="0.35">
      <c r="A23" t="str">
        <f>main!$B$20 &amp; B23 &amp; "Z=R"</f>
        <v>EUR4YZ=R</v>
      </c>
      <c r="B23" t="s">
        <v>14</v>
      </c>
      <c r="C23" s="3">
        <f>_xll.RtGet("IDN",A23,"GV1_DATE")</f>
        <v>45617</v>
      </c>
      <c r="D23" s="3">
        <f>_xll.RtGet("IDN",A23,"MATUR_DATE")</f>
        <v>47084</v>
      </c>
      <c r="E23" s="3">
        <f t="shared" si="0"/>
        <v>47175</v>
      </c>
      <c r="F23">
        <f>_xll.RtGet("IDN",A23,"SEC_ACT_1")</f>
        <v>0.91431139299999997</v>
      </c>
      <c r="K23" t="s">
        <v>122</v>
      </c>
      <c r="L23" s="52">
        <f>DATE(RIGHT(L21,4),MATCH(MID(L21,3,3),{"JAN";"FEB";"MAR";"APR";"MAY";"JUN";"JUL";"AUG";"SEP";"OCT";"NOV";"DEC"},0),LEFT(L21,2))</f>
        <v>45589</v>
      </c>
      <c r="O23" s="87"/>
      <c r="P23" s="88"/>
      <c r="R23" s="3">
        <v>45593</v>
      </c>
      <c r="S23">
        <v>2.2290000000000001</v>
      </c>
      <c r="T23">
        <v>2.2389999999999999</v>
      </c>
      <c r="V23" s="3">
        <v>45593</v>
      </c>
      <c r="W23">
        <v>2.9049999999999998</v>
      </c>
      <c r="Y23" s="13" t="s">
        <v>123</v>
      </c>
      <c r="Z23" s="12">
        <v>2.3690000000000002</v>
      </c>
      <c r="AA23">
        <v>2.4089999999999998</v>
      </c>
      <c r="AC23" s="12" t="s">
        <v>124</v>
      </c>
      <c r="AF23" s="12" t="s">
        <v>125</v>
      </c>
    </row>
    <row r="24" spans="1:32" x14ac:dyDescent="0.35">
      <c r="A24" t="str">
        <f>main!$B$20 &amp; B24 &amp; "Z=R"</f>
        <v>EUR4Y3MZ=R</v>
      </c>
      <c r="B24" t="s">
        <v>126</v>
      </c>
      <c r="C24" s="3">
        <f>_xll.RtGet("IDN",A24,"GV1_DATE")</f>
        <v>45617</v>
      </c>
      <c r="D24" s="3">
        <f>_xll.RtGet("IDN",A24,"MATUR_DATE")</f>
        <v>47175</v>
      </c>
      <c r="E24" s="3">
        <f t="shared" si="0"/>
        <v>47263</v>
      </c>
      <c r="F24">
        <f>_xll.RtGet("IDN",A24,"SEC_ACT_1")</f>
        <v>0.90913324100000004</v>
      </c>
      <c r="H24" s="12"/>
      <c r="O24" s="87"/>
      <c r="P24" s="88"/>
      <c r="R24" s="3">
        <v>45590</v>
      </c>
      <c r="S24">
        <v>2.2559999999999998</v>
      </c>
      <c r="T24">
        <v>2.266</v>
      </c>
      <c r="V24" s="3">
        <v>45590</v>
      </c>
      <c r="W24">
        <v>2.8940000000000001</v>
      </c>
      <c r="Y24" s="13" t="s">
        <v>127</v>
      </c>
      <c r="Z24">
        <v>2.3860000000000001</v>
      </c>
      <c r="AA24">
        <v>2.395</v>
      </c>
      <c r="AC24" s="12" t="s">
        <v>128</v>
      </c>
      <c r="AF24" s="12" t="s">
        <v>129</v>
      </c>
    </row>
    <row r="25" spans="1:32" x14ac:dyDescent="0.35">
      <c r="A25" t="str">
        <f>main!$B$20 &amp; B25 &amp; "Z=R"</f>
        <v>EUR4Y6MZ=R</v>
      </c>
      <c r="B25" t="s">
        <v>130</v>
      </c>
      <c r="C25" s="3">
        <f>_xll.RtGet("IDN",A25,"GV1_DATE")</f>
        <v>45617</v>
      </c>
      <c r="D25" s="3">
        <f>_xll.RtGet("IDN",A25,"MATUR_DATE")</f>
        <v>47263</v>
      </c>
      <c r="E25" s="3">
        <f t="shared" si="0"/>
        <v>47357</v>
      </c>
      <c r="F25">
        <f>_xll.RtGet("IDN",A25,"SEC_ACT_1")</f>
        <v>0.90413605100000005</v>
      </c>
      <c r="H25" s="12"/>
      <c r="K25" s="3" t="s">
        <v>90</v>
      </c>
      <c r="L25" t="str">
        <f>parseStructure(L15,"ACC:")</f>
        <v>AA</v>
      </c>
      <c r="O25" s="87"/>
      <c r="P25" s="88"/>
      <c r="R25" s="3">
        <v>45589</v>
      </c>
      <c r="S25">
        <v>2.2349999999999999</v>
      </c>
      <c r="T25">
        <v>2.2450000000000001</v>
      </c>
      <c r="V25" s="3">
        <v>45589</v>
      </c>
      <c r="W25">
        <v>2.92</v>
      </c>
      <c r="Y25" s="13" t="s">
        <v>131</v>
      </c>
      <c r="Z25">
        <v>2.3809999999999998</v>
      </c>
      <c r="AA25">
        <v>2.3919999999999999</v>
      </c>
      <c r="AC25" s="12" t="s">
        <v>132</v>
      </c>
      <c r="AF25" s="12" t="s">
        <v>133</v>
      </c>
    </row>
    <row r="26" spans="1:32" x14ac:dyDescent="0.35">
      <c r="A26" t="str">
        <f>main!$B$20 &amp; B26 &amp; "Z=R"</f>
        <v>EUR4Y9MZ=R</v>
      </c>
      <c r="B26" t="s">
        <v>134</v>
      </c>
      <c r="C26" s="3">
        <f>_xll.RtGet("IDN",A26,"GV1_DATE")</f>
        <v>45617</v>
      </c>
      <c r="D26" s="3">
        <f>_xll.RtGet("IDN",A26,"MATUR_DATE")</f>
        <v>47357</v>
      </c>
      <c r="E26" s="3">
        <f t="shared" si="0"/>
        <v>47448</v>
      </c>
      <c r="F26">
        <f>_xll.RtGet("IDN",A26,"SEC_ACT_1")</f>
        <v>0.898809144</v>
      </c>
      <c r="H26" s="12"/>
      <c r="K26" t="s">
        <v>94</v>
      </c>
      <c r="L26" t="str">
        <f>VLOOKUP(L25,tables!V2:W98,2,FALSE)</f>
        <v>Act/Act</v>
      </c>
      <c r="O26" s="87"/>
      <c r="P26" s="88"/>
      <c r="R26" s="3">
        <v>45588</v>
      </c>
      <c r="S26">
        <v>2.2669999999999999</v>
      </c>
      <c r="T26">
        <v>2.2770000000000001</v>
      </c>
      <c r="V26" s="3">
        <v>45588</v>
      </c>
      <c r="W26">
        <v>2.972</v>
      </c>
      <c r="Y26" s="13" t="s">
        <v>135</v>
      </c>
      <c r="Z26">
        <v>2.371</v>
      </c>
      <c r="AA26">
        <v>2.3820000000000001</v>
      </c>
      <c r="AC26" s="12" t="s">
        <v>136</v>
      </c>
      <c r="AF26" s="12" t="s">
        <v>137</v>
      </c>
    </row>
    <row r="27" spans="1:32" x14ac:dyDescent="0.35">
      <c r="A27" t="str">
        <f>main!$B$20 &amp; B27 &amp; "Z=R"</f>
        <v>EUR5YZ=R</v>
      </c>
      <c r="B27" t="s">
        <v>138</v>
      </c>
      <c r="C27" s="3">
        <f>_xll.RtGet("IDN",A27,"GV1_DATE")</f>
        <v>45617</v>
      </c>
      <c r="D27" s="3">
        <f>_xll.RtGet("IDN",A27,"MATUR_DATE")</f>
        <v>47448</v>
      </c>
      <c r="E27" s="3">
        <f t="shared" si="0"/>
        <v>47539</v>
      </c>
      <c r="F27">
        <f>_xll.RtGet("IDN",A27,"SEC_ACT_1")</f>
        <v>0.89366293200000002</v>
      </c>
      <c r="H27" s="12"/>
      <c r="O27" s="87"/>
      <c r="P27" s="88"/>
      <c r="R27" s="3">
        <v>45587</v>
      </c>
      <c r="S27">
        <v>2.2570000000000001</v>
      </c>
      <c r="T27">
        <v>2.298</v>
      </c>
      <c r="V27" s="3">
        <v>45587</v>
      </c>
      <c r="W27">
        <v>2.9540000000000002</v>
      </c>
      <c r="Y27" s="13" t="s">
        <v>139</v>
      </c>
      <c r="Z27">
        <v>2.3580000000000001</v>
      </c>
      <c r="AA27">
        <v>2.3690000000000002</v>
      </c>
      <c r="AC27" s="12" t="s">
        <v>140</v>
      </c>
      <c r="AF27" s="12" t="s">
        <v>141</v>
      </c>
    </row>
    <row r="28" spans="1:32" x14ac:dyDescent="0.35">
      <c r="A28" t="str">
        <f>main!$B$20 &amp; B28 &amp; "Z=R"</f>
        <v>EUR5Y3MZ=R</v>
      </c>
      <c r="B28" t="s">
        <v>142</v>
      </c>
      <c r="C28" s="3">
        <f>_xll.RtGet("IDN",A28,"GV1_DATE")</f>
        <v>45617</v>
      </c>
      <c r="D28" s="3">
        <f>_xll.RtGet("IDN",A28,"MATUR_DATE")</f>
        <v>47539</v>
      </c>
      <c r="E28" s="3">
        <f t="shared" si="0"/>
        <v>47630</v>
      </c>
      <c r="F28">
        <f>_xll.RtGet("IDN",A28,"SEC_ACT_1")</f>
        <v>0.88852671000000005</v>
      </c>
      <c r="H28" s="12"/>
      <c r="O28" s="87"/>
      <c r="P28" s="88"/>
      <c r="R28" s="3">
        <v>45586</v>
      </c>
      <c r="S28">
        <v>2.2850000000000001</v>
      </c>
      <c r="T28">
        <v>2.2949999999999999</v>
      </c>
      <c r="V28" s="3">
        <v>45586</v>
      </c>
      <c r="W28">
        <v>2.972</v>
      </c>
      <c r="Y28" s="13" t="s">
        <v>143</v>
      </c>
      <c r="Z28">
        <v>2.319</v>
      </c>
      <c r="AA28">
        <v>2.359</v>
      </c>
      <c r="AC28" s="12" t="s">
        <v>144</v>
      </c>
      <c r="AF28" s="12" t="s">
        <v>145</v>
      </c>
    </row>
    <row r="29" spans="1:32" x14ac:dyDescent="0.35">
      <c r="A29" t="str">
        <f>main!$B$20 &amp; B29 &amp; "Z=R"</f>
        <v>EUR5Y6MZ=R</v>
      </c>
      <c r="B29" t="s">
        <v>146</v>
      </c>
      <c r="C29" s="3">
        <f>_xll.RtGet("IDN",A29,"GV1_DATE")</f>
        <v>45617</v>
      </c>
      <c r="D29" s="3">
        <f>_xll.RtGet("IDN",A29,"MATUR_DATE")</f>
        <v>47630</v>
      </c>
      <c r="E29" s="3">
        <f t="shared" si="0"/>
        <v>47721</v>
      </c>
      <c r="F29">
        <f>_xll.RtGet("IDN",A29,"SEC_ACT_1")</f>
        <v>0.88339838500000001</v>
      </c>
      <c r="H29" s="12"/>
      <c r="O29" s="87"/>
      <c r="P29" s="88"/>
      <c r="R29" s="3">
        <v>45583</v>
      </c>
      <c r="S29">
        <v>2.218</v>
      </c>
      <c r="T29">
        <v>2.2280000000000002</v>
      </c>
      <c r="V29" s="3">
        <v>45583</v>
      </c>
      <c r="W29">
        <v>3.028</v>
      </c>
      <c r="Y29" s="13" t="s">
        <v>147</v>
      </c>
      <c r="Z29">
        <v>2.3199999999999998</v>
      </c>
      <c r="AA29">
        <v>2.33</v>
      </c>
      <c r="AC29" s="12" t="s">
        <v>148</v>
      </c>
      <c r="AF29" s="12" t="s">
        <v>149</v>
      </c>
    </row>
    <row r="30" spans="1:32" x14ac:dyDescent="0.35">
      <c r="A30" t="str">
        <f>main!$B$20 &amp; B30 &amp; "Z=R"</f>
        <v>EUR5Y9MZ=R</v>
      </c>
      <c r="B30" t="s">
        <v>150</v>
      </c>
      <c r="C30" s="3">
        <f>_xll.RtGet("IDN",A30,"GV1_DATE")</f>
        <v>45617</v>
      </c>
      <c r="D30" s="3">
        <f>_xll.RtGet("IDN",A30,"MATUR_DATE")</f>
        <v>47721</v>
      </c>
      <c r="E30" s="3">
        <f t="shared" si="0"/>
        <v>47812</v>
      </c>
      <c r="F30">
        <f>_xll.RtGet("IDN",A30,"SEC_ACT_1")</f>
        <v>0.87827547399999994</v>
      </c>
      <c r="H30" s="12"/>
      <c r="O30" s="87"/>
      <c r="P30" s="88"/>
      <c r="R30" s="3">
        <v>45582</v>
      </c>
      <c r="S30">
        <v>2.25</v>
      </c>
      <c r="T30">
        <v>2.2599999999999998</v>
      </c>
      <c r="V30" s="3">
        <v>45582</v>
      </c>
      <c r="W30">
        <v>3.036</v>
      </c>
      <c r="Y30" s="13" t="s">
        <v>151</v>
      </c>
      <c r="Z30">
        <v>2.286</v>
      </c>
      <c r="AA30">
        <v>2.3260000000000001</v>
      </c>
      <c r="AC30" s="12"/>
      <c r="AF30" s="12" t="s">
        <v>152</v>
      </c>
    </row>
    <row r="31" spans="1:32" x14ac:dyDescent="0.35">
      <c r="A31" t="str">
        <f>main!$B$20 &amp; B31 &amp; "Z=R"</f>
        <v>EUR6YZ=R</v>
      </c>
      <c r="B31" t="s">
        <v>153</v>
      </c>
      <c r="C31" s="3">
        <f>_xll.RtGet("IDN",A31,"GV1_DATE")</f>
        <v>45617</v>
      </c>
      <c r="D31" s="3">
        <f>_xll.RtGet("IDN",A31,"MATUR_DATE")</f>
        <v>47812</v>
      </c>
      <c r="E31" s="3">
        <f t="shared" si="0"/>
        <v>47904</v>
      </c>
      <c r="F31">
        <f>_xll.RtGet("IDN",A31,"SEC_ACT_1")</f>
        <v>0.87315549299999995</v>
      </c>
      <c r="H31" s="12"/>
      <c r="O31" s="87"/>
      <c r="P31" s="88"/>
      <c r="R31" s="3">
        <v>45581</v>
      </c>
      <c r="S31">
        <v>2.2789999999999999</v>
      </c>
      <c r="T31">
        <v>2.2890000000000001</v>
      </c>
      <c r="V31" s="3">
        <v>45581</v>
      </c>
      <c r="W31">
        <v>3.0470000000000002</v>
      </c>
      <c r="Y31" s="13" t="s">
        <v>154</v>
      </c>
      <c r="Z31">
        <v>2.2629999999999999</v>
      </c>
      <c r="AA31">
        <v>2.3029999999999999</v>
      </c>
      <c r="AC31" s="12"/>
      <c r="AF31" s="12" t="s">
        <v>155</v>
      </c>
    </row>
    <row r="32" spans="1:32" x14ac:dyDescent="0.35">
      <c r="A32" t="str">
        <f>main!$B$20 &amp; B32 &amp; "Z=R"</f>
        <v>EUR6Y3MZ=R</v>
      </c>
      <c r="B32" t="s">
        <v>156</v>
      </c>
      <c r="C32" s="3">
        <f>_xll.RtGet("IDN",A32,"GV1_DATE")</f>
        <v>45617</v>
      </c>
      <c r="D32" s="3">
        <f>_xll.RtGet("IDN",A32,"MATUR_DATE")</f>
        <v>47904</v>
      </c>
      <c r="E32" s="3">
        <f t="shared" si="0"/>
        <v>47994</v>
      </c>
      <c r="F32">
        <f>_xll.RtGet("IDN",A32,"SEC_ACT_1")</f>
        <v>0.86798115600000003</v>
      </c>
      <c r="H32" s="12"/>
      <c r="O32" s="87"/>
      <c r="P32" s="88"/>
      <c r="R32" s="3">
        <v>45580</v>
      </c>
      <c r="S32">
        <v>2.3220000000000001</v>
      </c>
      <c r="T32">
        <v>2.3260000000000001</v>
      </c>
      <c r="V32" s="3">
        <v>45580</v>
      </c>
      <c r="W32">
        <v>3.0569999999999999</v>
      </c>
      <c r="Y32" s="13" t="s">
        <v>157</v>
      </c>
      <c r="Z32">
        <v>2.2400000000000002</v>
      </c>
      <c r="AA32">
        <v>2.2799999999999998</v>
      </c>
      <c r="AF32" s="12" t="s">
        <v>158</v>
      </c>
    </row>
    <row r="33" spans="1:32" x14ac:dyDescent="0.35">
      <c r="A33" t="str">
        <f>main!$B$20 &amp; B33 &amp; "Z=R"</f>
        <v>EUR6Y6MZ=R</v>
      </c>
      <c r="B33" t="s">
        <v>159</v>
      </c>
      <c r="C33" s="3">
        <f>_xll.RtGet("IDN",A33,"GV1_DATE")</f>
        <v>45617</v>
      </c>
      <c r="D33" s="3">
        <f>_xll.RtGet("IDN",A33,"MATUR_DATE")</f>
        <v>47994</v>
      </c>
      <c r="E33" s="3">
        <f t="shared" si="0"/>
        <v>48085</v>
      </c>
      <c r="F33">
        <f>_xll.RtGet("IDN",A33,"SEC_ACT_1")</f>
        <v>0.86292571100000004</v>
      </c>
      <c r="H33" s="12"/>
      <c r="O33" s="87"/>
      <c r="P33" s="88"/>
      <c r="R33" s="3">
        <v>45579</v>
      </c>
      <c r="S33">
        <v>2.375</v>
      </c>
      <c r="T33">
        <v>2.3849999999999998</v>
      </c>
      <c r="V33" s="3">
        <v>45579</v>
      </c>
      <c r="W33">
        <v>3.0619999999999998</v>
      </c>
      <c r="Y33" s="13" t="s">
        <v>160</v>
      </c>
      <c r="Z33">
        <v>2.2170000000000001</v>
      </c>
      <c r="AA33">
        <v>2.2570000000000001</v>
      </c>
      <c r="AF33" s="12" t="s">
        <v>161</v>
      </c>
    </row>
    <row r="34" spans="1:32" x14ac:dyDescent="0.35">
      <c r="A34" t="str">
        <f>main!$B$20 &amp; B34 &amp; "Z=R"</f>
        <v>EUR6Y9MZ=R</v>
      </c>
      <c r="B34" t="s">
        <v>162</v>
      </c>
      <c r="C34" s="3">
        <f>_xll.RtGet("IDN",A34,"GV1_DATE")</f>
        <v>45617</v>
      </c>
      <c r="D34" s="3">
        <f>_xll.RtGet("IDN",A34,"MATUR_DATE")</f>
        <v>48085</v>
      </c>
      <c r="E34" s="3">
        <f t="shared" si="0"/>
        <v>48177</v>
      </c>
      <c r="F34">
        <f>_xll.RtGet("IDN",A34,"SEC_ACT_1")</f>
        <v>0.85782651099999996</v>
      </c>
      <c r="H34" s="12" t="s">
        <v>163</v>
      </c>
      <c r="I34">
        <f>1000-COUNTBLANK(H38:H1037)</f>
        <v>21</v>
      </c>
      <c r="K34" t="s">
        <v>164</v>
      </c>
      <c r="L34">
        <f>1000-COUNTBLANK(K38:K1037)</f>
        <v>90</v>
      </c>
      <c r="O34" s="87"/>
      <c r="P34" s="88"/>
      <c r="R34" s="3">
        <v>45576</v>
      </c>
      <c r="S34">
        <v>2.3580000000000001</v>
      </c>
      <c r="T34">
        <v>2.3679999999999999</v>
      </c>
      <c r="V34" s="3">
        <v>45576</v>
      </c>
      <c r="W34">
        <v>3.0640000000000001</v>
      </c>
      <c r="Y34" s="13" t="s">
        <v>165</v>
      </c>
      <c r="Z34">
        <v>2.2090000000000001</v>
      </c>
      <c r="AA34">
        <v>2.2200000000000002</v>
      </c>
      <c r="AF34" s="12" t="s">
        <v>166</v>
      </c>
    </row>
    <row r="35" spans="1:32" x14ac:dyDescent="0.35">
      <c r="A35" t="str">
        <f>main!$B$20 &amp; B35 &amp; "Z=R"</f>
        <v>EUR7YZ=R</v>
      </c>
      <c r="B35" t="s">
        <v>167</v>
      </c>
      <c r="C35" s="3">
        <f>_xll.RtGet("IDN",A35,"GV1_DATE")</f>
        <v>45617</v>
      </c>
      <c r="D35" s="3">
        <f>_xll.RtGet("IDN",A35,"MATUR_DATE")</f>
        <v>48177</v>
      </c>
      <c r="E35" s="3">
        <f t="shared" si="0"/>
        <v>48269</v>
      </c>
      <c r="F35">
        <f>_xll.RtGet("IDN",A35,"SEC_ACT_1")</f>
        <v>0.85269007699999999</v>
      </c>
      <c r="L35" t="s">
        <v>168</v>
      </c>
      <c r="O35" s="89"/>
      <c r="P35" s="90"/>
      <c r="R35" s="3">
        <v>45575</v>
      </c>
      <c r="S35">
        <v>2.3690000000000002</v>
      </c>
      <c r="T35">
        <v>2.379</v>
      </c>
      <c r="V35" s="3">
        <v>45575</v>
      </c>
      <c r="W35">
        <v>3.0550000000000002</v>
      </c>
      <c r="Y35" s="13" t="s">
        <v>169</v>
      </c>
      <c r="Z35">
        <v>2.1709999999999998</v>
      </c>
      <c r="AA35">
        <v>2.2109999999999999</v>
      </c>
      <c r="AF35" s="12" t="s">
        <v>170</v>
      </c>
    </row>
    <row r="36" spans="1:32" x14ac:dyDescent="0.35">
      <c r="A36" t="str">
        <f>main!$B$20 &amp; B36 &amp; "Z=R"</f>
        <v>EUR7Y3MZ=R</v>
      </c>
      <c r="B36" t="s">
        <v>171</v>
      </c>
      <c r="C36" s="3">
        <f>_xll.RtGet("IDN",A36,"GV1_DATE")</f>
        <v>45617</v>
      </c>
      <c r="D36" s="3">
        <f>_xll.RtGet("IDN",A36,"MATUR_DATE")</f>
        <v>48269</v>
      </c>
      <c r="E36" s="3">
        <f t="shared" si="0"/>
        <v>48359</v>
      </c>
      <c r="F36">
        <f>_xll.RtGet("IDN",A36,"SEC_ACT_1")</f>
        <v>0.84757642899999996</v>
      </c>
      <c r="H36" t="str">
        <f>"0#" &amp; VLOOKUP(main!B7,tables!A2:E98,2,) &amp; "TSYS="</f>
        <v>0#DETSYS=</v>
      </c>
      <c r="I36" s="3"/>
      <c r="K36" t="str">
        <f>"0#" &amp; VLOOKUP(main!B7,tables!A2:E98,2,) &amp; "TSY="</f>
        <v>0#DETSY=</v>
      </c>
      <c r="L36" s="87">
        <v>46001</v>
      </c>
      <c r="M36" s="13"/>
      <c r="O36" s="89"/>
      <c r="P36" s="90"/>
      <c r="R36" s="3">
        <v>45574</v>
      </c>
      <c r="S36">
        <v>2.415</v>
      </c>
      <c r="T36">
        <v>2.4249999999999998</v>
      </c>
      <c r="V36" s="3">
        <v>45574</v>
      </c>
      <c r="W36">
        <v>3.0470000000000002</v>
      </c>
      <c r="Y36" s="13" t="s">
        <v>172</v>
      </c>
      <c r="Z36">
        <v>2.149</v>
      </c>
      <c r="AA36">
        <v>2.1890000000000001</v>
      </c>
      <c r="AF36" s="12" t="s">
        <v>173</v>
      </c>
    </row>
    <row r="37" spans="1:32" x14ac:dyDescent="0.35">
      <c r="A37" t="str">
        <f>main!$B$20 &amp; B37 &amp; "Z=R"</f>
        <v>EUR7Y6MZ=R</v>
      </c>
      <c r="B37" t="s">
        <v>174</v>
      </c>
      <c r="C37" s="3">
        <f>_xll.RtGet("IDN",A37,"GV1_DATE")</f>
        <v>45617</v>
      </c>
      <c r="D37" s="3">
        <f>_xll.RtGet("IDN",A37,"MATUR_DATE")</f>
        <v>48359</v>
      </c>
      <c r="E37" s="3">
        <f t="shared" si="0"/>
        <v>48451</v>
      </c>
      <c r="F37">
        <f>_xll.RtGet("IDN",A37,"SEC_ACT_1")</f>
        <v>0.84259090999999997</v>
      </c>
      <c r="H37" t="str" cm="1">
        <f t="array" ref="H37">_xll.RDP.Data(H36,"","CH=Fd RH=IN",H38)</f>
        <v>Updated at 10:38:29</v>
      </c>
      <c r="I37" s="3"/>
      <c r="K37" t="str" cm="1">
        <f t="array" ref="K37">_xll.RDP.Data(K36,"","CH=Fd RH=IN",K38)</f>
        <v>Updated at 10:38:29</v>
      </c>
      <c r="L37" s="87">
        <v>46366</v>
      </c>
      <c r="M37" s="13"/>
      <c r="O37" s="87"/>
      <c r="P37" s="88"/>
      <c r="R37" s="13">
        <v>45573</v>
      </c>
      <c r="S37">
        <v>2.3860000000000001</v>
      </c>
      <c r="T37">
        <v>2.3959999999999999</v>
      </c>
      <c r="V37" s="3">
        <v>45573</v>
      </c>
      <c r="W37">
        <v>3.0579999999999998</v>
      </c>
      <c r="Y37" s="13" t="s">
        <v>175</v>
      </c>
      <c r="Z37">
        <v>2.1280000000000001</v>
      </c>
      <c r="AA37">
        <v>2.1680000000000001</v>
      </c>
      <c r="AF37" s="12" t="s">
        <v>176</v>
      </c>
    </row>
    <row r="38" spans="1:32" x14ac:dyDescent="0.35">
      <c r="A38" t="str">
        <f>main!$B$20 &amp; B38 &amp; "Z=R"</f>
        <v>EUR7Y9MZ=R</v>
      </c>
      <c r="B38" t="s">
        <v>177</v>
      </c>
      <c r="C38" s="3">
        <f>_xll.RtGet("IDN",A38,"GV1_DATE")</f>
        <v>45617</v>
      </c>
      <c r="D38" s="3">
        <f>_xll.RtGet("IDN",A38,"MATUR_DATE")</f>
        <v>48451</v>
      </c>
      <c r="E38" s="3">
        <f t="shared" si="0"/>
        <v>48543</v>
      </c>
      <c r="F38">
        <f>_xll.RtGet("IDN",A38,"SEC_ACT_1")</f>
        <v>0.83750446599999995</v>
      </c>
      <c r="H38" s="12" t="s">
        <v>178</v>
      </c>
      <c r="I38" s="3"/>
      <c r="K38" s="12" t="s">
        <v>178</v>
      </c>
      <c r="L38" s="87"/>
      <c r="M38" s="13"/>
      <c r="O38" s="87"/>
      <c r="P38" s="88"/>
      <c r="R38" s="13">
        <v>45572</v>
      </c>
      <c r="S38">
        <v>2.4169999999999998</v>
      </c>
      <c r="T38">
        <v>2.427</v>
      </c>
      <c r="V38" s="3">
        <v>45572</v>
      </c>
      <c r="W38">
        <v>3.048</v>
      </c>
      <c r="Y38" s="13" t="s">
        <v>179</v>
      </c>
      <c r="Z38">
        <v>2.1080000000000001</v>
      </c>
      <c r="AA38">
        <v>2.1480000000000001</v>
      </c>
      <c r="AF38" s="12" t="s">
        <v>180</v>
      </c>
    </row>
    <row r="39" spans="1:32" x14ac:dyDescent="0.35">
      <c r="A39" t="str">
        <f>main!$B$20 &amp; B39 &amp; "Z=R"</f>
        <v>EUR8YZ=R</v>
      </c>
      <c r="B39" t="s">
        <v>181</v>
      </c>
      <c r="C39" s="3">
        <f>_xll.RtGet("IDN",A39,"GV1_DATE")</f>
        <v>45617</v>
      </c>
      <c r="D39" s="3">
        <f>_xll.RtGet("IDN",A39,"MATUR_DATE")</f>
        <v>48543</v>
      </c>
      <c r="E39" s="3">
        <f t="shared" si="0"/>
        <v>48635</v>
      </c>
      <c r="F39">
        <f>_xll.RtGet("IDN",A39,"SEC_ACT_1")</f>
        <v>0.83242043399999999</v>
      </c>
      <c r="H39" s="12" t="s">
        <v>8</v>
      </c>
      <c r="I39" s="3"/>
      <c r="K39" s="12" t="s">
        <v>8</v>
      </c>
      <c r="L39" s="87"/>
      <c r="M39" s="13"/>
      <c r="O39" s="87"/>
      <c r="P39" s="88"/>
      <c r="R39" s="13">
        <v>45569</v>
      </c>
      <c r="S39">
        <v>2.355</v>
      </c>
      <c r="T39">
        <v>2.3650000000000002</v>
      </c>
      <c r="V39" s="3">
        <v>45569</v>
      </c>
      <c r="W39">
        <v>3.0459999999999998</v>
      </c>
      <c r="Y39" s="13" t="s">
        <v>182</v>
      </c>
      <c r="Z39">
        <v>2.0880000000000001</v>
      </c>
      <c r="AA39">
        <v>2.1280000000000001</v>
      </c>
      <c r="AF39" s="12" t="s">
        <v>183</v>
      </c>
    </row>
    <row r="40" spans="1:32" x14ac:dyDescent="0.35">
      <c r="A40" t="str">
        <f>main!$B$20 &amp; B40 &amp; "Z=R"</f>
        <v>EUR8Y3MZ=R</v>
      </c>
      <c r="B40" t="s">
        <v>184</v>
      </c>
      <c r="C40" s="3">
        <f>_xll.RtGet("IDN",A40,"GV1_DATE")</f>
        <v>45617</v>
      </c>
      <c r="D40" s="3">
        <f>_xll.RtGet("IDN",A40,"MATUR_DATE")</f>
        <v>48635</v>
      </c>
      <c r="E40" s="3">
        <f t="shared" si="0"/>
        <v>48724</v>
      </c>
      <c r="F40">
        <f>_xll.RtGet("IDN",A40,"SEC_ACT_1")</f>
        <v>0.82733357699999999</v>
      </c>
      <c r="H40" s="12" t="s">
        <v>185</v>
      </c>
      <c r="I40" s="3"/>
      <c r="K40" s="12" t="s">
        <v>185</v>
      </c>
      <c r="L40" s="87"/>
      <c r="M40" s="13"/>
      <c r="O40" s="87"/>
      <c r="P40" s="88"/>
      <c r="R40" s="13">
        <v>45568</v>
      </c>
      <c r="S40">
        <v>2.2389999999999999</v>
      </c>
      <c r="T40">
        <v>2.2490000000000001</v>
      </c>
      <c r="V40" s="3">
        <v>45568</v>
      </c>
      <c r="W40">
        <v>3.0710000000000002</v>
      </c>
      <c r="Y40" s="13" t="s">
        <v>186</v>
      </c>
      <c r="Z40">
        <v>1.907</v>
      </c>
      <c r="AA40">
        <v>1.9470000000000001</v>
      </c>
      <c r="AF40" s="12" t="s">
        <v>187</v>
      </c>
    </row>
    <row r="41" spans="1:32" x14ac:dyDescent="0.35">
      <c r="A41" t="str">
        <f>main!$B$20 &amp; B41 &amp; "Z=R"</f>
        <v>EUR8Y6MZ=R</v>
      </c>
      <c r="B41" t="s">
        <v>188</v>
      </c>
      <c r="C41" s="3">
        <f>_xll.RtGet("IDN",A41,"GV1_DATE")</f>
        <v>45617</v>
      </c>
      <c r="D41" s="3">
        <f>_xll.RtGet("IDN",A41,"MATUR_DATE")</f>
        <v>48724</v>
      </c>
      <c r="E41" s="3">
        <f t="shared" si="0"/>
        <v>48816</v>
      </c>
      <c r="F41">
        <f>_xll.RtGet("IDN",A41,"SEC_ACT_1")</f>
        <v>0.82241389799999998</v>
      </c>
      <c r="H41" s="12" t="s">
        <v>189</v>
      </c>
      <c r="I41" s="3"/>
      <c r="K41" s="12" t="s">
        <v>190</v>
      </c>
      <c r="L41" s="87"/>
      <c r="M41" s="13"/>
      <c r="O41" s="87"/>
      <c r="P41" s="88"/>
      <c r="R41" s="13">
        <v>45567</v>
      </c>
      <c r="S41">
        <v>2.1960000000000002</v>
      </c>
      <c r="T41">
        <v>2.206</v>
      </c>
      <c r="V41" s="3">
        <v>45567</v>
      </c>
      <c r="W41">
        <v>3.0920000000000001</v>
      </c>
      <c r="Y41" s="13" t="s">
        <v>191</v>
      </c>
      <c r="Z41">
        <v>1.74</v>
      </c>
      <c r="AA41">
        <v>1.78</v>
      </c>
      <c r="AF41" s="12" t="s">
        <v>192</v>
      </c>
    </row>
    <row r="42" spans="1:32" x14ac:dyDescent="0.35">
      <c r="A42" t="str">
        <f>main!$B$20 &amp; B42 &amp; "Z=R"</f>
        <v>EUR8Y9MZ=R</v>
      </c>
      <c r="B42" t="s">
        <v>193</v>
      </c>
      <c r="C42" s="3">
        <f>_xll.RtGet("IDN",A42,"GV1_DATE")</f>
        <v>45617</v>
      </c>
      <c r="D42" s="3">
        <f>_xll.RtGet("IDN",A42,"MATUR_DATE")</f>
        <v>48816</v>
      </c>
      <c r="E42" s="3">
        <f t="shared" si="0"/>
        <v>48908</v>
      </c>
      <c r="F42">
        <f>_xll.RtGet("IDN",A42,"SEC_ACT_1")</f>
        <v>0.81733619400000002</v>
      </c>
      <c r="H42" s="12" t="s">
        <v>194</v>
      </c>
      <c r="I42" s="3"/>
      <c r="K42" s="12" t="s">
        <v>189</v>
      </c>
      <c r="L42" s="87"/>
      <c r="M42" s="13"/>
      <c r="O42" s="87"/>
      <c r="P42" s="88"/>
      <c r="R42" s="13">
        <v>45566</v>
      </c>
      <c r="S42">
        <v>2.1480000000000001</v>
      </c>
      <c r="T42">
        <v>2.1579999999999999</v>
      </c>
      <c r="V42" s="3">
        <v>45566</v>
      </c>
      <c r="W42">
        <v>3.0920000000000001</v>
      </c>
      <c r="Y42" s="13"/>
      <c r="AF42" s="12" t="s">
        <v>195</v>
      </c>
    </row>
    <row r="43" spans="1:32" x14ac:dyDescent="0.35">
      <c r="A43" t="str">
        <f>main!$B$20 &amp; B43 &amp; "Z=R"</f>
        <v>EUR9YZ=R</v>
      </c>
      <c r="B43" t="s">
        <v>196</v>
      </c>
      <c r="C43" s="3">
        <f>_xll.RtGet("IDN",A43,"GV1_DATE")</f>
        <v>45617</v>
      </c>
      <c r="D43" s="3">
        <f>_xll.RtGet("IDN",A43,"MATUR_DATE")</f>
        <v>48908</v>
      </c>
      <c r="E43" s="3">
        <f t="shared" si="0"/>
        <v>49002</v>
      </c>
      <c r="F43">
        <f>_xll.RtGet("IDN",A43,"SEC_ACT_1")</f>
        <v>0.812272997</v>
      </c>
      <c r="H43" s="13" t="s">
        <v>197</v>
      </c>
      <c r="I43" s="3"/>
      <c r="K43" s="12" t="s">
        <v>194</v>
      </c>
      <c r="L43" s="87"/>
      <c r="M43" s="13"/>
      <c r="O43" s="87"/>
      <c r="P43" s="88"/>
      <c r="R43" s="13">
        <v>45565</v>
      </c>
      <c r="S43">
        <v>2.2080000000000002</v>
      </c>
      <c r="T43">
        <v>2.218</v>
      </c>
      <c r="V43" s="3">
        <v>45565</v>
      </c>
      <c r="W43">
        <v>3.105</v>
      </c>
      <c r="Y43" s="13"/>
      <c r="AF43" s="12" t="s">
        <v>198</v>
      </c>
    </row>
    <row r="44" spans="1:32" x14ac:dyDescent="0.35">
      <c r="A44" t="str">
        <f>main!$B$20 &amp; B44 &amp; "Z=R"</f>
        <v>EUR9Y3MZ=R</v>
      </c>
      <c r="B44" t="s">
        <v>199</v>
      </c>
      <c r="C44" s="3">
        <f>_xll.RtGet("IDN",A44,"GV1_DATE")</f>
        <v>45617</v>
      </c>
      <c r="D44" s="3">
        <f>_xll.RtGet("IDN",A44,"MATUR_DATE")</f>
        <v>49002</v>
      </c>
      <c r="E44" s="3">
        <f t="shared" si="0"/>
        <v>49089</v>
      </c>
      <c r="F44">
        <f>_xll.RtGet("IDN",A44,"SEC_ACT_1")</f>
        <v>0.807120807</v>
      </c>
      <c r="H44" s="13" t="s">
        <v>200</v>
      </c>
      <c r="I44" s="3"/>
      <c r="K44" s="12" t="s">
        <v>197</v>
      </c>
      <c r="L44" s="87"/>
      <c r="M44" s="13"/>
      <c r="O44" s="87"/>
      <c r="P44" s="88"/>
      <c r="R44" s="13">
        <v>45562</v>
      </c>
      <c r="S44">
        <v>2.226</v>
      </c>
      <c r="T44">
        <v>2.2360000000000002</v>
      </c>
      <c r="V44" s="3">
        <v>45562</v>
      </c>
      <c r="W44">
        <v>3.1520000000000001</v>
      </c>
      <c r="Y44" s="13"/>
      <c r="AF44" s="12" t="s">
        <v>201</v>
      </c>
    </row>
    <row r="45" spans="1:32" x14ac:dyDescent="0.35">
      <c r="A45" t="str">
        <f>main!$B$20 &amp; B45 &amp; "Z=R"</f>
        <v>EUR9Y6MZ=R</v>
      </c>
      <c r="B45" t="s">
        <v>202</v>
      </c>
      <c r="C45" s="3">
        <f>_xll.RtGet("IDN",A45,"GV1_DATE")</f>
        <v>45617</v>
      </c>
      <c r="D45" s="3">
        <f>_xll.RtGet("IDN",A45,"MATUR_DATE")</f>
        <v>49089</v>
      </c>
      <c r="E45" s="3">
        <f t="shared" si="0"/>
        <v>49181</v>
      </c>
      <c r="F45">
        <f>_xll.RtGet("IDN",A45,"SEC_ACT_1")</f>
        <v>0.80237387000000004</v>
      </c>
      <c r="H45" s="13" t="s">
        <v>203</v>
      </c>
      <c r="I45" s="3"/>
      <c r="K45" s="12" t="s">
        <v>204</v>
      </c>
      <c r="L45" s="87"/>
      <c r="M45" s="13"/>
      <c r="O45" s="87"/>
      <c r="P45" s="88"/>
      <c r="R45" s="13">
        <v>45561</v>
      </c>
      <c r="S45">
        <v>2.2759999999999998</v>
      </c>
      <c r="T45">
        <v>2.286</v>
      </c>
      <c r="V45" s="3">
        <v>45561</v>
      </c>
      <c r="W45">
        <v>3.1619999999999999</v>
      </c>
      <c r="Y45" s="13"/>
      <c r="AF45" s="12" t="s">
        <v>205</v>
      </c>
    </row>
    <row r="46" spans="1:32" x14ac:dyDescent="0.35">
      <c r="A46" t="str">
        <f>main!$B$20 &amp; B46 &amp; "Z=R"</f>
        <v>EUR9Y9MZ=R</v>
      </c>
      <c r="B46" t="s">
        <v>206</v>
      </c>
      <c r="C46" s="3">
        <f>_xll.RtGet("IDN",A46,"GV1_DATE")</f>
        <v>45617</v>
      </c>
      <c r="D46" s="3">
        <f>_xll.RtGet("IDN",A46,"MATUR_DATE")</f>
        <v>49181</v>
      </c>
      <c r="E46" s="3">
        <f t="shared" si="0"/>
        <v>49275</v>
      </c>
      <c r="F46">
        <f>_xll.RtGet("IDN",A46,"SEC_ACT_1")</f>
        <v>0.79737866700000004</v>
      </c>
      <c r="H46" s="13" t="s">
        <v>207</v>
      </c>
      <c r="I46" s="3"/>
      <c r="K46" s="12" t="s">
        <v>200</v>
      </c>
      <c r="L46" s="87"/>
      <c r="M46" s="13"/>
      <c r="O46" s="87"/>
      <c r="P46" s="88"/>
      <c r="R46" s="13">
        <v>45560</v>
      </c>
      <c r="S46">
        <v>2.2669999999999999</v>
      </c>
      <c r="T46">
        <v>2.2770000000000001</v>
      </c>
      <c r="V46" s="3">
        <v>45560</v>
      </c>
      <c r="W46">
        <v>3.1549999999999998</v>
      </c>
      <c r="Y46" s="13"/>
      <c r="AF46" s="12" t="s">
        <v>208</v>
      </c>
    </row>
    <row r="47" spans="1:32" x14ac:dyDescent="0.35">
      <c r="A47" t="str">
        <f>main!$B$20 &amp; B47 &amp; "Z=R"</f>
        <v>EUR10YZ=R</v>
      </c>
      <c r="B47" t="s">
        <v>209</v>
      </c>
      <c r="C47" s="3">
        <f>_xll.RtGet("IDN",A47,"GV1_DATE")</f>
        <v>45617</v>
      </c>
      <c r="D47" s="3">
        <f>_xll.RtGet("IDN",A47,"MATUR_DATE")</f>
        <v>49275</v>
      </c>
      <c r="E47" s="3">
        <f t="shared" si="0"/>
        <v>49639</v>
      </c>
      <c r="F47">
        <f>_xll.RtGet("IDN",A47,"SEC_ACT_1")</f>
        <v>0.79230303800000002</v>
      </c>
      <c r="H47" s="13" t="s">
        <v>210</v>
      </c>
      <c r="I47" s="3"/>
      <c r="K47" s="12" t="s">
        <v>203</v>
      </c>
      <c r="L47" s="87"/>
      <c r="M47" s="13"/>
      <c r="O47" s="87"/>
      <c r="P47" s="88"/>
      <c r="R47" s="13">
        <v>45559</v>
      </c>
      <c r="S47">
        <v>2.2509999999999999</v>
      </c>
      <c r="T47">
        <v>2.2549999999999999</v>
      </c>
      <c r="V47" s="3">
        <v>45559</v>
      </c>
      <c r="W47">
        <v>3.1960000000000002</v>
      </c>
      <c r="Y47" s="13"/>
      <c r="AF47" s="12" t="s">
        <v>211</v>
      </c>
    </row>
    <row r="48" spans="1:32" x14ac:dyDescent="0.35">
      <c r="A48" t="str">
        <f>main!$B$20 &amp; B48 &amp; "Z=R"</f>
        <v>EUR10Y3MZ=R</v>
      </c>
      <c r="B48" t="s">
        <v>212</v>
      </c>
      <c r="C48" s="3" t="str">
        <f>_xll.RtGet("IDN",A48,"GV1_DATE")</f>
        <v>#N/A The record could not be found</v>
      </c>
      <c r="D48" s="3" t="str">
        <f>_xll.RtGet("IDN",A48,"MATUR_DATE")</f>
        <v>#N/A The record could not be found</v>
      </c>
      <c r="E48" s="3">
        <f t="shared" si="0"/>
        <v>49639</v>
      </c>
      <c r="F48" t="str">
        <f>_xll.RtGet("IDN",A48,"SEC_ACT_1")</f>
        <v>#N/A The record could not be found</v>
      </c>
      <c r="H48" s="13" t="s">
        <v>213</v>
      </c>
      <c r="I48" s="3"/>
      <c r="K48" s="12" t="s">
        <v>207</v>
      </c>
      <c r="L48" s="87"/>
      <c r="M48" s="13"/>
      <c r="O48" s="87"/>
      <c r="P48" s="88"/>
      <c r="R48" s="13">
        <v>45558</v>
      </c>
      <c r="S48">
        <v>2.2879999999999998</v>
      </c>
      <c r="T48">
        <v>2.298</v>
      </c>
      <c r="V48" s="3">
        <v>45558</v>
      </c>
      <c r="W48">
        <v>3.2120000000000002</v>
      </c>
      <c r="Y48" s="13"/>
      <c r="AF48" s="12" t="s">
        <v>214</v>
      </c>
    </row>
    <row r="49" spans="1:32" x14ac:dyDescent="0.35">
      <c r="A49" t="str">
        <f>main!$B$20 &amp; B49 &amp; "Z=R"</f>
        <v>EUR10Y6MZ=R</v>
      </c>
      <c r="B49" t="s">
        <v>215</v>
      </c>
      <c r="C49" s="3" t="str">
        <f>_xll.RtGet("IDN",A49,"GV1_DATE")</f>
        <v>#N/A The record could not be found</v>
      </c>
      <c r="D49" s="3" t="str">
        <f>_xll.RtGet("IDN",A49,"MATUR_DATE")</f>
        <v>#N/A The record could not be found</v>
      </c>
      <c r="E49" s="3">
        <f t="shared" si="0"/>
        <v>49639</v>
      </c>
      <c r="F49" t="str">
        <f>_xll.RtGet("IDN",A49,"SEC_ACT_1")</f>
        <v>#N/A The record could not be found</v>
      </c>
      <c r="H49" s="13" t="s">
        <v>216</v>
      </c>
      <c r="I49" s="3"/>
      <c r="K49" s="12" t="s">
        <v>210</v>
      </c>
      <c r="L49" s="87"/>
      <c r="M49" s="13"/>
      <c r="O49" s="87"/>
      <c r="P49" s="88"/>
      <c r="R49" s="13">
        <v>45555</v>
      </c>
      <c r="S49">
        <v>2.34</v>
      </c>
      <c r="T49">
        <v>2.35</v>
      </c>
      <c r="V49" s="3">
        <v>45555</v>
      </c>
      <c r="W49">
        <v>3.1840000000000002</v>
      </c>
      <c r="Y49" s="13"/>
      <c r="AF49" s="12" t="s">
        <v>217</v>
      </c>
    </row>
    <row r="50" spans="1:32" x14ac:dyDescent="0.35">
      <c r="A50" t="str">
        <f>main!$B$20 &amp; B50 &amp; "Z=R"</f>
        <v>EUR10Y9MZ=R</v>
      </c>
      <c r="B50" t="s">
        <v>218</v>
      </c>
      <c r="C50" s="3" t="str">
        <f>_xll.RtGet("IDN",A50,"GV1_DATE")</f>
        <v>#N/A The record could not be found</v>
      </c>
      <c r="D50" s="3" t="str">
        <f>_xll.RtGet("IDN",A50,"MATUR_DATE")</f>
        <v>#N/A The record could not be found</v>
      </c>
      <c r="E50" s="3">
        <f t="shared" si="0"/>
        <v>49639</v>
      </c>
      <c r="F50" t="str">
        <f>_xll.RtGet("IDN",A50,"SEC_ACT_1")</f>
        <v>#N/A The record could not be found</v>
      </c>
      <c r="H50" s="13" t="s">
        <v>219</v>
      </c>
      <c r="I50" s="3"/>
      <c r="K50" s="12" t="s">
        <v>213</v>
      </c>
      <c r="L50" s="87"/>
      <c r="M50" s="13"/>
      <c r="O50" s="87"/>
      <c r="P50" s="88"/>
      <c r="R50" s="13">
        <v>45554</v>
      </c>
      <c r="S50">
        <v>2.3580000000000001</v>
      </c>
      <c r="T50">
        <v>2.3679999999999999</v>
      </c>
      <c r="V50" s="3">
        <v>45554</v>
      </c>
      <c r="W50">
        <v>3.2229999999999999</v>
      </c>
      <c r="Y50" s="13"/>
      <c r="AF50" s="12" t="s">
        <v>220</v>
      </c>
    </row>
    <row r="51" spans="1:32" x14ac:dyDescent="0.35">
      <c r="A51" t="str">
        <f>main!$B$20 &amp; B51 &amp; "Z=R"</f>
        <v>EUR11YZ=R</v>
      </c>
      <c r="B51" t="s">
        <v>221</v>
      </c>
      <c r="C51" s="3">
        <f>_xll.RtGet("IDN",A51,"GV1_DATE")</f>
        <v>45617</v>
      </c>
      <c r="D51" s="3">
        <f>_xll.RtGet("IDN",A51,"MATUR_DATE")</f>
        <v>49639</v>
      </c>
      <c r="E51" s="3">
        <f t="shared" si="0"/>
        <v>50004</v>
      </c>
      <c r="F51">
        <f>_xll.RtGet("IDN",A51,"SEC_ACT_1")</f>
        <v>0.772883494</v>
      </c>
      <c r="H51" s="13" t="s">
        <v>222</v>
      </c>
      <c r="K51" s="12" t="s">
        <v>223</v>
      </c>
      <c r="L51" s="87"/>
      <c r="M51" s="13"/>
      <c r="O51" s="87"/>
      <c r="P51" s="88"/>
      <c r="R51" s="13">
        <v>45553</v>
      </c>
      <c r="S51">
        <v>2.3879999999999999</v>
      </c>
      <c r="T51" s="12">
        <v>2.3980000000000001</v>
      </c>
      <c r="V51" s="3">
        <v>45553</v>
      </c>
      <c r="W51">
        <v>3.2389999999999999</v>
      </c>
      <c r="Y51" s="13"/>
      <c r="AA51" s="12"/>
      <c r="AF51" s="12" t="s">
        <v>224</v>
      </c>
    </row>
    <row r="52" spans="1:32" x14ac:dyDescent="0.35">
      <c r="A52" t="str">
        <f>main!$B$20 &amp; B52 &amp; "Z=R"</f>
        <v>EUR11Y3MZ=R</v>
      </c>
      <c r="B52" t="s">
        <v>225</v>
      </c>
      <c r="C52" s="3" t="str">
        <f>_xll.RtGet("IDN",A52,"GV1_DATE")</f>
        <v>#N/A The record could not be found</v>
      </c>
      <c r="D52" s="3" t="str">
        <f>_xll.RtGet("IDN",A52,"MATUR_DATE")</f>
        <v>#N/A The record could not be found</v>
      </c>
      <c r="E52" s="3">
        <f t="shared" si="0"/>
        <v>50004</v>
      </c>
      <c r="F52" t="str">
        <f>_xll.RtGet("IDN",A52,"SEC_ACT_1")</f>
        <v>#N/A The record could not be found</v>
      </c>
      <c r="H52" s="13" t="s">
        <v>226</v>
      </c>
      <c r="K52" s="12" t="s">
        <v>216</v>
      </c>
      <c r="L52" s="87"/>
      <c r="M52" s="13"/>
      <c r="O52" s="87"/>
      <c r="P52" s="88"/>
      <c r="R52" s="13">
        <v>45552</v>
      </c>
      <c r="S52">
        <v>2.35</v>
      </c>
      <c r="T52" s="12">
        <v>2.36</v>
      </c>
      <c r="V52" s="3">
        <v>45552</v>
      </c>
      <c r="W52">
        <v>3.2679999999999998</v>
      </c>
      <c r="Y52" s="13"/>
      <c r="AA52" s="12"/>
      <c r="AF52" s="12" t="s">
        <v>227</v>
      </c>
    </row>
    <row r="53" spans="1:32" x14ac:dyDescent="0.35">
      <c r="A53" t="str">
        <f>main!$B$20 &amp; B53 &amp; "Z=R"</f>
        <v>EUR11Y6MZ=R</v>
      </c>
      <c r="B53" t="s">
        <v>228</v>
      </c>
      <c r="C53" s="3" t="str">
        <f>_xll.RtGet("IDN",A53,"GV1_DATE")</f>
        <v>#N/A The record could not be found</v>
      </c>
      <c r="D53" s="3" t="str">
        <f>_xll.RtGet("IDN",A53,"MATUR_DATE")</f>
        <v>#N/A The record could not be found</v>
      </c>
      <c r="E53" s="3">
        <f t="shared" si="0"/>
        <v>50004</v>
      </c>
      <c r="F53" t="str">
        <f>_xll.RtGet("IDN",A53,"SEC_ACT_1")</f>
        <v>#N/A The record could not be found</v>
      </c>
      <c r="H53" s="13" t="s">
        <v>229</v>
      </c>
      <c r="K53" s="12" t="s">
        <v>219</v>
      </c>
      <c r="L53" s="87"/>
      <c r="M53" s="13"/>
      <c r="O53" s="87"/>
      <c r="P53" s="88"/>
      <c r="R53" s="13">
        <v>45551</v>
      </c>
      <c r="S53">
        <v>2.3079999999999998</v>
      </c>
      <c r="T53" s="12">
        <v>2.3180000000000001</v>
      </c>
      <c r="V53" s="3">
        <v>45551</v>
      </c>
      <c r="W53">
        <v>3.2850000000000001</v>
      </c>
      <c r="Y53" s="13"/>
      <c r="AA53" s="12"/>
      <c r="AF53" s="12" t="s">
        <v>230</v>
      </c>
    </row>
    <row r="54" spans="1:32" x14ac:dyDescent="0.35">
      <c r="A54" t="str">
        <f>main!$B$20 &amp; B54 &amp; "Z=R"</f>
        <v>EUR11Y9MZ=R</v>
      </c>
      <c r="B54" t="s">
        <v>231</v>
      </c>
      <c r="C54" s="3" t="str">
        <f>_xll.RtGet("IDN",A54,"GV1_DATE")</f>
        <v>#N/A The record could not be found</v>
      </c>
      <c r="D54" s="3" t="str">
        <f>_xll.RtGet("IDN",A54,"MATUR_DATE")</f>
        <v>#N/A The record could not be found</v>
      </c>
      <c r="E54" s="3">
        <f t="shared" si="0"/>
        <v>50004</v>
      </c>
      <c r="F54" t="str">
        <f>_xll.RtGet("IDN",A54,"SEC_ACT_1")</f>
        <v>#N/A The record could not be found</v>
      </c>
      <c r="H54" s="13" t="s">
        <v>232</v>
      </c>
      <c r="K54" s="12" t="s">
        <v>222</v>
      </c>
      <c r="L54" s="87"/>
      <c r="M54" s="13"/>
      <c r="O54" s="87"/>
      <c r="P54" s="88"/>
      <c r="R54" s="13">
        <v>45548</v>
      </c>
      <c r="S54">
        <v>2.3460000000000001</v>
      </c>
      <c r="T54" s="12">
        <v>2.3559999999999999</v>
      </c>
      <c r="V54" s="3">
        <v>45548</v>
      </c>
      <c r="W54">
        <v>3.2709999999999999</v>
      </c>
      <c r="Y54" s="13"/>
      <c r="AA54" s="12"/>
      <c r="AF54" s="12" t="s">
        <v>233</v>
      </c>
    </row>
    <row r="55" spans="1:32" x14ac:dyDescent="0.35">
      <c r="A55" t="str">
        <f>main!$B$20 &amp; B55 &amp; "Z=R"</f>
        <v>EUR12YZ=R</v>
      </c>
      <c r="B55" t="s">
        <v>234</v>
      </c>
      <c r="C55" s="3">
        <f>_xll.RtGet("IDN",A55,"GV1_DATE")</f>
        <v>45617</v>
      </c>
      <c r="D55" s="3">
        <f>_xll.RtGet("IDN",A55,"MATUR_DATE")</f>
        <v>50004</v>
      </c>
      <c r="E55" s="3">
        <f t="shared" si="0"/>
        <v>50369</v>
      </c>
      <c r="F55">
        <f>_xll.RtGet("IDN",A55,"SEC_ACT_1")</f>
        <v>0.75370205400000001</v>
      </c>
      <c r="H55" s="13" t="s">
        <v>235</v>
      </c>
      <c r="K55" s="12" t="s">
        <v>236</v>
      </c>
      <c r="L55" s="87"/>
      <c r="M55" s="13"/>
      <c r="O55" s="87"/>
      <c r="P55" s="88"/>
      <c r="R55" s="13">
        <v>45547</v>
      </c>
      <c r="S55">
        <v>2.367</v>
      </c>
      <c r="T55" s="12">
        <v>2.3769999999999998</v>
      </c>
      <c r="V55" s="3">
        <v>45547</v>
      </c>
      <c r="W55">
        <v>3.2650000000000001</v>
      </c>
      <c r="Y55" s="13"/>
      <c r="AA55" s="12"/>
      <c r="AF55" s="12" t="s">
        <v>237</v>
      </c>
    </row>
    <row r="56" spans="1:32" x14ac:dyDescent="0.35">
      <c r="A56" t="str">
        <f>main!$B$20 &amp; B56 &amp; "Z=R"</f>
        <v>EUR12Y3MZ=R</v>
      </c>
      <c r="B56" t="s">
        <v>238</v>
      </c>
      <c r="C56" s="3" t="str">
        <f>_xll.RtGet("IDN",A56,"GV1_DATE")</f>
        <v>#N/A The record could not be found</v>
      </c>
      <c r="D56" s="3" t="str">
        <f>_xll.RtGet("IDN",A56,"MATUR_DATE")</f>
        <v>#N/A The record could not be found</v>
      </c>
      <c r="E56" s="3">
        <f t="shared" si="0"/>
        <v>50369</v>
      </c>
      <c r="F56" t="str">
        <f>_xll.RtGet("IDN",A56,"SEC_ACT_1")</f>
        <v>#N/A The record could not be found</v>
      </c>
      <c r="H56" s="13" t="s">
        <v>239</v>
      </c>
      <c r="K56" s="12" t="s">
        <v>240</v>
      </c>
      <c r="L56" s="87"/>
      <c r="M56" s="13"/>
      <c r="O56" s="87"/>
      <c r="P56" s="88"/>
      <c r="R56" s="13">
        <v>45546</v>
      </c>
      <c r="S56">
        <v>2.2999999999999998</v>
      </c>
      <c r="T56" s="12">
        <v>2.31</v>
      </c>
      <c r="V56" s="3">
        <v>45546</v>
      </c>
      <c r="W56">
        <v>3.2759999999999998</v>
      </c>
      <c r="Y56" s="13"/>
      <c r="AA56" s="12"/>
      <c r="AF56" s="12" t="s">
        <v>241</v>
      </c>
    </row>
    <row r="57" spans="1:32" x14ac:dyDescent="0.35">
      <c r="A57" t="str">
        <f>main!$B$20 &amp; B57 &amp; "Z=R"</f>
        <v>EUR12Y6MZ=R</v>
      </c>
      <c r="B57" t="s">
        <v>242</v>
      </c>
      <c r="C57" s="3" t="str">
        <f>_xll.RtGet("IDN",A57,"GV1_DATE")</f>
        <v>#N/A The record could not be found</v>
      </c>
      <c r="D57" s="3" t="str">
        <f>_xll.RtGet("IDN",A57,"MATUR_DATE")</f>
        <v>#N/A The record could not be found</v>
      </c>
      <c r="E57" s="3">
        <f t="shared" si="0"/>
        <v>50369</v>
      </c>
      <c r="F57" t="str">
        <f>_xll.RtGet("IDN",A57,"SEC_ACT_1")</f>
        <v>#N/A The record could not be found</v>
      </c>
      <c r="H57" s="13" t="s">
        <v>243</v>
      </c>
      <c r="K57" s="12" t="s">
        <v>226</v>
      </c>
      <c r="L57" s="87"/>
      <c r="M57" s="13"/>
      <c r="O57" s="87"/>
      <c r="P57" s="88"/>
      <c r="R57" s="13">
        <v>45545</v>
      </c>
      <c r="S57">
        <v>2.347</v>
      </c>
      <c r="T57" s="12">
        <v>2.351</v>
      </c>
      <c r="V57" s="3">
        <v>45545</v>
      </c>
      <c r="W57">
        <v>3.2930000000000001</v>
      </c>
      <c r="Y57" s="13"/>
      <c r="AA57" s="12"/>
      <c r="AF57" s="12" t="s">
        <v>244</v>
      </c>
    </row>
    <row r="58" spans="1:32" x14ac:dyDescent="0.35">
      <c r="A58" t="str">
        <f>main!$B$20 &amp; B58 &amp; "Z=R"</f>
        <v>EUR12Y9MZ=R</v>
      </c>
      <c r="B58" t="s">
        <v>245</v>
      </c>
      <c r="C58" s="3" t="str">
        <f>_xll.RtGet("IDN",A58,"GV1_DATE")</f>
        <v>#N/A The record could not be found</v>
      </c>
      <c r="D58" s="3" t="str">
        <f>_xll.RtGet("IDN",A58,"MATUR_DATE")</f>
        <v>#N/A The record could not be found</v>
      </c>
      <c r="E58" s="3">
        <f t="shared" si="0"/>
        <v>50369</v>
      </c>
      <c r="F58" t="str">
        <f>_xll.RtGet("IDN",A58,"SEC_ACT_1")</f>
        <v>#N/A The record could not be found</v>
      </c>
      <c r="H58" s="13" t="s">
        <v>10</v>
      </c>
      <c r="K58" s="12" t="s">
        <v>246</v>
      </c>
      <c r="L58" s="87"/>
      <c r="M58" s="13"/>
      <c r="O58" s="3"/>
      <c r="R58" s="13">
        <v>45544</v>
      </c>
      <c r="S58">
        <v>2.3679999999999999</v>
      </c>
      <c r="T58" s="12">
        <v>2.3780000000000001</v>
      </c>
      <c r="V58" s="3">
        <v>45544</v>
      </c>
      <c r="W58">
        <v>3.3069999999999999</v>
      </c>
      <c r="Y58" s="13"/>
      <c r="AA58" s="12"/>
      <c r="AF58" s="12" t="s">
        <v>247</v>
      </c>
    </row>
    <row r="59" spans="1:32" x14ac:dyDescent="0.35">
      <c r="A59" t="str">
        <f>main!$B$20 &amp; B59 &amp; "Z=R"</f>
        <v>EUR13YZ=R</v>
      </c>
      <c r="B59" t="s">
        <v>248</v>
      </c>
      <c r="C59" s="3">
        <f>_xll.RtGet("IDN",A59,"GV1_DATE")</f>
        <v>45617</v>
      </c>
      <c r="D59" s="3">
        <f>_xll.RtGet("IDN",A59,"MATUR_DATE")</f>
        <v>50369</v>
      </c>
      <c r="E59" s="3">
        <f t="shared" si="0"/>
        <v>50734</v>
      </c>
      <c r="F59">
        <f>_xll.RtGet("IDN",A59,"SEC_ACT_1")</f>
        <v>0.73514707400000001</v>
      </c>
      <c r="H59" s="13"/>
      <c r="K59" s="12" t="s">
        <v>229</v>
      </c>
      <c r="L59" s="87"/>
      <c r="M59" s="13"/>
      <c r="O59" s="7" t="s">
        <v>249</v>
      </c>
      <c r="R59" s="13">
        <v>45541</v>
      </c>
      <c r="S59">
        <v>2.41</v>
      </c>
      <c r="T59" s="12">
        <v>2.42</v>
      </c>
      <c r="V59" s="3">
        <v>45541</v>
      </c>
      <c r="W59">
        <v>3.3460000000000001</v>
      </c>
      <c r="Y59" s="13"/>
      <c r="AA59" s="12"/>
      <c r="AF59" s="12" t="s">
        <v>250</v>
      </c>
    </row>
    <row r="60" spans="1:32" ht="15.5" x14ac:dyDescent="0.35">
      <c r="A60" t="str">
        <f>main!$B$20 &amp; B60 &amp; "Z=R"</f>
        <v>EUR13Y3MZ=R</v>
      </c>
      <c r="B60" t="s">
        <v>251</v>
      </c>
      <c r="C60" s="3" t="str">
        <f>_xll.RtGet("IDN",A60,"GV1_DATE")</f>
        <v>#N/A The record could not be found</v>
      </c>
      <c r="D60" s="3" t="str">
        <f>_xll.RtGet("IDN",A60,"MATUR_DATE")</f>
        <v>#N/A The record could not be found</v>
      </c>
      <c r="E60" s="3">
        <f t="shared" si="0"/>
        <v>50734</v>
      </c>
      <c r="F60" t="str">
        <f>_xll.RtGet("IDN",A60,"SEC_ACT_1")</f>
        <v>#N/A The record could not be found</v>
      </c>
      <c r="H60" s="12"/>
      <c r="K60" s="12" t="s">
        <v>232</v>
      </c>
      <c r="L60" s="87"/>
      <c r="M60" s="12"/>
      <c r="O60" s="102">
        <v>45677.583333333299</v>
      </c>
      <c r="P60">
        <v>0.25753424657534246</v>
      </c>
      <c r="R60" s="13">
        <v>45540</v>
      </c>
      <c r="S60">
        <v>2.456</v>
      </c>
      <c r="T60" s="12">
        <v>2.46</v>
      </c>
      <c r="V60" s="3">
        <v>45540</v>
      </c>
      <c r="W60">
        <v>3.3639999999999999</v>
      </c>
      <c r="Y60" s="13"/>
      <c r="AA60" s="12"/>
      <c r="AF60" s="12" t="s">
        <v>252</v>
      </c>
    </row>
    <row r="61" spans="1:32" ht="15.5" x14ac:dyDescent="0.35">
      <c r="A61" t="str">
        <f>main!$B$20 &amp; B61 &amp; "Z=R"</f>
        <v>EUR13Y6MZ=R</v>
      </c>
      <c r="B61" t="s">
        <v>253</v>
      </c>
      <c r="C61" s="3" t="str">
        <f>_xll.RtGet("IDN",A61,"GV1_DATE")</f>
        <v>#N/A The record could not be found</v>
      </c>
      <c r="D61" s="3" t="str">
        <f>_xll.RtGet("IDN",A61,"MATUR_DATE")</f>
        <v>#N/A The record could not be found</v>
      </c>
      <c r="E61" s="3">
        <f t="shared" si="0"/>
        <v>50734</v>
      </c>
      <c r="F61" t="str">
        <f>_xll.RtGet("IDN",A61,"SEC_ACT_1")</f>
        <v>#N/A The record could not be found</v>
      </c>
      <c r="H61" s="12"/>
      <c r="K61" s="12" t="s">
        <v>254</v>
      </c>
      <c r="L61" s="87"/>
      <c r="M61" s="12"/>
      <c r="O61" s="102">
        <v>45769.625</v>
      </c>
      <c r="P61">
        <v>0.25205479452054796</v>
      </c>
      <c r="R61" s="13">
        <v>45539</v>
      </c>
      <c r="S61">
        <v>2.4689999999999999</v>
      </c>
      <c r="T61" s="12">
        <v>2.4790000000000001</v>
      </c>
      <c r="V61" s="3">
        <v>45539</v>
      </c>
      <c r="W61">
        <v>3.379</v>
      </c>
      <c r="Y61" s="13"/>
      <c r="AA61" s="12"/>
      <c r="AF61" s="12" t="s">
        <v>255</v>
      </c>
    </row>
    <row r="62" spans="1:32" ht="15.5" x14ac:dyDescent="0.35">
      <c r="A62" t="str">
        <f>main!$B$20 &amp; B62 &amp; "Z=R"</f>
        <v>EUR13Y9MZ=R</v>
      </c>
      <c r="B62" t="s">
        <v>256</v>
      </c>
      <c r="C62" s="3" t="str">
        <f>_xll.RtGet("IDN",A62,"GV1_DATE")</f>
        <v>#N/A The record could not be found</v>
      </c>
      <c r="D62" s="3" t="str">
        <f>_xll.RtGet("IDN",A62,"MATUR_DATE")</f>
        <v>#N/A The record could not be found</v>
      </c>
      <c r="E62" s="3">
        <f t="shared" si="0"/>
        <v>50734</v>
      </c>
      <c r="F62" t="str">
        <f>_xll.RtGet("IDN",A62,"SEC_ACT_1")</f>
        <v>#N/A The record could not be found</v>
      </c>
      <c r="H62" s="12"/>
      <c r="K62" s="12" t="s">
        <v>235</v>
      </c>
      <c r="L62" s="87"/>
      <c r="M62" s="12"/>
      <c r="O62" s="102">
        <v>45856.625</v>
      </c>
      <c r="P62">
        <v>0.23835616438356164</v>
      </c>
      <c r="R62" s="13">
        <v>45538</v>
      </c>
      <c r="S62">
        <v>2.5169999999999999</v>
      </c>
      <c r="T62" s="12">
        <v>2.5270000000000001</v>
      </c>
      <c r="V62" s="3">
        <v>45538</v>
      </c>
      <c r="W62">
        <v>3.3809999999999998</v>
      </c>
      <c r="Y62" s="13"/>
      <c r="AA62" s="12"/>
      <c r="AF62" s="12" t="s">
        <v>257</v>
      </c>
    </row>
    <row r="63" spans="1:32" ht="15.5" x14ac:dyDescent="0.35">
      <c r="A63" t="str">
        <f>main!$B$20 &amp; B63 &amp; "Z=R"</f>
        <v>EUR14YZ=R</v>
      </c>
      <c r="B63" t="s">
        <v>258</v>
      </c>
      <c r="C63" s="3">
        <f>_xll.RtGet("IDN",A63,"GV1_DATE")</f>
        <v>45617</v>
      </c>
      <c r="D63" s="3">
        <f>_xll.RtGet("IDN",A63,"MATUR_DATE")</f>
        <v>50734</v>
      </c>
      <c r="E63" s="3">
        <f t="shared" si="0"/>
        <v>51099</v>
      </c>
      <c r="F63">
        <f>_xll.RtGet("IDN",A63,"SEC_ACT_1")</f>
        <v>0.71734376700000002</v>
      </c>
      <c r="H63" s="12"/>
      <c r="K63" s="12" t="s">
        <v>259</v>
      </c>
      <c r="L63" s="87"/>
      <c r="M63" s="12"/>
      <c r="O63" s="102">
        <v>45950.625</v>
      </c>
      <c r="P63">
        <v>0.25753424657534246</v>
      </c>
      <c r="R63" s="13">
        <v>45537</v>
      </c>
      <c r="S63">
        <v>2.5609999999999999</v>
      </c>
      <c r="T63" s="12">
        <v>2.5649999999999999</v>
      </c>
      <c r="V63" s="3">
        <v>45537</v>
      </c>
      <c r="W63">
        <v>3.351</v>
      </c>
      <c r="Y63" s="13"/>
      <c r="AA63" s="12"/>
      <c r="AF63" s="12" t="s">
        <v>260</v>
      </c>
    </row>
    <row r="64" spans="1:32" ht="15.5" x14ac:dyDescent="0.35">
      <c r="A64" t="str">
        <f>main!$B$20 &amp; B64 &amp; "Z=R"</f>
        <v>EUR14Y3MZ=R</v>
      </c>
      <c r="B64" t="s">
        <v>261</v>
      </c>
      <c r="C64" s="3" t="str">
        <f>_xll.RtGet("IDN",A64,"GV1_DATE")</f>
        <v>#N/A The record could not be found</v>
      </c>
      <c r="D64" s="3" t="str">
        <f>_xll.RtGet("IDN",A64,"MATUR_DATE")</f>
        <v>#N/A The record could not be found</v>
      </c>
      <c r="E64" s="3">
        <f t="shared" si="0"/>
        <v>51099</v>
      </c>
      <c r="F64" t="str">
        <f>_xll.RtGet("IDN",A64,"SEC_ACT_1")</f>
        <v>#N/A The record could not be found</v>
      </c>
      <c r="H64" s="12"/>
      <c r="K64" s="12" t="s">
        <v>239</v>
      </c>
      <c r="L64" s="87"/>
      <c r="M64" s="12"/>
      <c r="O64" s="102">
        <v>46041.583333333299</v>
      </c>
      <c r="P64">
        <v>0.24931506849315069</v>
      </c>
      <c r="R64" s="13">
        <v>45534</v>
      </c>
      <c r="S64">
        <v>2.5470000000000002</v>
      </c>
      <c r="T64" s="12">
        <v>2.5569999999999999</v>
      </c>
      <c r="V64" s="3">
        <v>45534</v>
      </c>
      <c r="W64">
        <v>3.36</v>
      </c>
      <c r="Y64" s="13"/>
      <c r="AA64" s="12"/>
      <c r="AF64" s="12" t="s">
        <v>262</v>
      </c>
    </row>
    <row r="65" spans="1:32" ht="15.5" x14ac:dyDescent="0.35">
      <c r="A65" t="str">
        <f>main!$B$20 &amp; B65 &amp; "Z=R"</f>
        <v>EUR14Y6MZ=R</v>
      </c>
      <c r="B65" t="s">
        <v>263</v>
      </c>
      <c r="C65" s="3" t="str">
        <f>_xll.RtGet("IDN",A65,"GV1_DATE")</f>
        <v>#N/A The record could not be found</v>
      </c>
      <c r="D65" s="3" t="str">
        <f>_xll.RtGet("IDN",A65,"MATUR_DATE")</f>
        <v>#N/A The record could not be found</v>
      </c>
      <c r="E65" s="3">
        <f t="shared" si="0"/>
        <v>51099</v>
      </c>
      <c r="F65" t="str">
        <f>_xll.RtGet("IDN",A65,"SEC_ACT_1")</f>
        <v>#N/A The record could not be found</v>
      </c>
      <c r="H65" s="12"/>
      <c r="K65" s="12" t="s">
        <v>264</v>
      </c>
      <c r="L65" s="87"/>
      <c r="M65" s="12"/>
      <c r="O65" s="102">
        <v>46132.625</v>
      </c>
      <c r="P65">
        <v>0.24931506849315069</v>
      </c>
      <c r="R65" s="13">
        <v>45533</v>
      </c>
      <c r="S65">
        <v>2.5179999999999998</v>
      </c>
      <c r="T65" s="12">
        <v>2.528</v>
      </c>
      <c r="V65" s="3">
        <v>45533</v>
      </c>
      <c r="W65">
        <v>3.3759999999999999</v>
      </c>
      <c r="Y65" s="13"/>
      <c r="AA65" s="12"/>
      <c r="AF65" s="12" t="s">
        <v>265</v>
      </c>
    </row>
    <row r="66" spans="1:32" ht="15.5" x14ac:dyDescent="0.35">
      <c r="A66" t="str">
        <f>main!$B$20 &amp; B66 &amp; "Z=R"</f>
        <v>EUR14Y9MZ=R</v>
      </c>
      <c r="B66" t="s">
        <v>266</v>
      </c>
      <c r="C66" s="3" t="str">
        <f>_xll.RtGet("IDN",A66,"GV1_DATE")</f>
        <v>#N/A The record could not be found</v>
      </c>
      <c r="D66" s="3" t="str">
        <f>_xll.RtGet("IDN",A66,"MATUR_DATE")</f>
        <v>#N/A The record could not be found</v>
      </c>
      <c r="E66" s="3">
        <f t="shared" si="0"/>
        <v>51099</v>
      </c>
      <c r="F66" t="str">
        <f>_xll.RtGet("IDN",A66,"SEC_ACT_1")</f>
        <v>#N/A The record could not be found</v>
      </c>
      <c r="H66" s="12"/>
      <c r="K66" s="12" t="s">
        <v>243</v>
      </c>
      <c r="L66" s="87"/>
      <c r="M66" s="12"/>
      <c r="O66" s="102">
        <v>46223.625</v>
      </c>
      <c r="P66">
        <v>0.24931506849315069</v>
      </c>
      <c r="R66" s="13">
        <v>45532</v>
      </c>
      <c r="S66">
        <v>2.5350000000000001</v>
      </c>
      <c r="T66" s="12">
        <v>2.5449999999999999</v>
      </c>
      <c r="V66" s="3">
        <v>45532</v>
      </c>
      <c r="W66">
        <v>3.391</v>
      </c>
      <c r="Y66" s="13"/>
      <c r="AA66" s="12"/>
      <c r="AF66" s="12" t="s">
        <v>267</v>
      </c>
    </row>
    <row r="67" spans="1:32" ht="15.5" x14ac:dyDescent="0.35">
      <c r="A67" t="str">
        <f>main!$B$20 &amp; B67 &amp; "Z=R"</f>
        <v>EUR15YZ=R</v>
      </c>
      <c r="B67" t="s">
        <v>268</v>
      </c>
      <c r="C67" s="3">
        <f>_xll.RtGet("IDN",A67,"GV1_DATE")</f>
        <v>45617</v>
      </c>
      <c r="D67" s="3">
        <f>_xll.RtGet("IDN",A67,"MATUR_DATE")</f>
        <v>51099</v>
      </c>
      <c r="E67" s="3">
        <f t="shared" ref="E67:E127" si="1">IF(ISNUMBER(D68),D68,E68)</f>
        <v>52926</v>
      </c>
      <c r="F67">
        <f>_xll.RtGet("IDN",A67,"SEC_ACT_1")</f>
        <v>0.70036178100000002</v>
      </c>
      <c r="H67" s="12"/>
      <c r="K67" s="12" t="s">
        <v>269</v>
      </c>
      <c r="L67" s="87"/>
      <c r="M67" s="12"/>
      <c r="O67" s="102">
        <v>46314.625</v>
      </c>
      <c r="P67">
        <v>0.24931506849315069</v>
      </c>
      <c r="R67" s="13">
        <v>45531</v>
      </c>
      <c r="S67">
        <v>2.544</v>
      </c>
      <c r="T67" s="12">
        <v>2.548</v>
      </c>
      <c r="V67" s="3">
        <v>45531</v>
      </c>
      <c r="W67">
        <v>3.3849999999999998</v>
      </c>
      <c r="Y67" s="13"/>
      <c r="AA67" s="12"/>
      <c r="AF67" s="12" t="s">
        <v>270</v>
      </c>
    </row>
    <row r="68" spans="1:32" ht="15.5" x14ac:dyDescent="0.35">
      <c r="A68" t="str">
        <f>main!$B$20 &amp; B68 &amp; "Z=R"</f>
        <v>EUR15Y3MZ=R</v>
      </c>
      <c r="B68" t="s">
        <v>271</v>
      </c>
      <c r="C68" s="3" t="str">
        <f>_xll.RtGet("IDN",A68,"GV1_DATE")</f>
        <v>#N/A The record could not be found</v>
      </c>
      <c r="D68" s="3" t="str">
        <f>_xll.RtGet("IDN",A68,"MATUR_DATE")</f>
        <v>#N/A The record could not be found</v>
      </c>
      <c r="E68" s="3">
        <f t="shared" si="1"/>
        <v>52926</v>
      </c>
      <c r="F68" t="str">
        <f>_xll.RtGet("IDN",A68,"SEC_ACT_1")</f>
        <v>#N/A The record could not be found</v>
      </c>
      <c r="H68" s="12"/>
      <c r="K68" s="12" t="s">
        <v>272</v>
      </c>
      <c r="L68" s="87"/>
      <c r="M68" s="12"/>
      <c r="O68" s="102">
        <v>46405.583333333299</v>
      </c>
      <c r="P68">
        <v>0.24931506849315069</v>
      </c>
      <c r="R68" s="13">
        <v>45530</v>
      </c>
      <c r="S68">
        <v>2.54</v>
      </c>
      <c r="T68" s="12">
        <v>2.5499999999999998</v>
      </c>
      <c r="V68" s="3">
        <v>45530</v>
      </c>
      <c r="W68">
        <v>3.4009999999999998</v>
      </c>
      <c r="Y68" s="13"/>
      <c r="AA68" s="12"/>
      <c r="AF68" s="12" t="s">
        <v>273</v>
      </c>
    </row>
    <row r="69" spans="1:32" ht="15.5" x14ac:dyDescent="0.35">
      <c r="A69" t="str">
        <f>main!$B$20 &amp; B69 &amp; "Z=R"</f>
        <v>EUR15Y6MZ=R</v>
      </c>
      <c r="B69" t="s">
        <v>274</v>
      </c>
      <c r="C69" s="3" t="str">
        <f>_xll.RtGet("IDN",A69,"GV1_DATE")</f>
        <v>#N/A The record could not be found</v>
      </c>
      <c r="D69" s="3" t="str">
        <f>_xll.RtGet("IDN",A69,"MATUR_DATE")</f>
        <v>#N/A The record could not be found</v>
      </c>
      <c r="E69" s="3">
        <f t="shared" si="1"/>
        <v>52926</v>
      </c>
      <c r="F69" t="str">
        <f>_xll.RtGet("IDN",A69,"SEC_ACT_1")</f>
        <v>#N/A The record could not be found</v>
      </c>
      <c r="H69" s="12"/>
      <c r="K69" s="12" t="s">
        <v>10</v>
      </c>
      <c r="L69" s="87"/>
      <c r="M69" s="12"/>
      <c r="O69" s="102">
        <v>46496.625</v>
      </c>
      <c r="P69">
        <v>0.24931506849315069</v>
      </c>
      <c r="R69" s="13">
        <v>45527</v>
      </c>
      <c r="S69">
        <v>2.5259999999999998</v>
      </c>
      <c r="T69" s="12">
        <v>2.536</v>
      </c>
      <c r="V69" s="3">
        <v>45527</v>
      </c>
      <c r="W69">
        <v>3.3820000000000001</v>
      </c>
      <c r="Y69" s="13"/>
      <c r="AA69" s="12"/>
      <c r="AF69" s="12" t="s">
        <v>275</v>
      </c>
    </row>
    <row r="70" spans="1:32" ht="15.5" x14ac:dyDescent="0.35">
      <c r="A70" t="str">
        <f>main!$B$20 &amp; B70 &amp; "Z=R"</f>
        <v>EUR15Y9MZ=R</v>
      </c>
      <c r="B70" t="s">
        <v>276</v>
      </c>
      <c r="C70" s="3" t="str">
        <f>_xll.RtGet("IDN",A70,"GV1_DATE")</f>
        <v>#N/A The record could not be found</v>
      </c>
      <c r="D70" s="3" t="str">
        <f>_xll.RtGet("IDN",A70,"MATUR_DATE")</f>
        <v>#N/A The record could not be found</v>
      </c>
      <c r="E70" s="3">
        <f t="shared" si="1"/>
        <v>52926</v>
      </c>
      <c r="F70" t="str">
        <f>_xll.RtGet("IDN",A70,"SEC_ACT_1")</f>
        <v>#N/A The record could not be found</v>
      </c>
      <c r="H70" s="12"/>
      <c r="K70" s="12" t="s">
        <v>277</v>
      </c>
      <c r="L70" s="87"/>
      <c r="M70" s="12"/>
      <c r="O70" s="102">
        <v>46587.625</v>
      </c>
      <c r="P70">
        <v>0.24931506849315069</v>
      </c>
      <c r="R70" s="13">
        <v>45526</v>
      </c>
      <c r="S70">
        <v>2.5590000000000002</v>
      </c>
      <c r="T70" s="12">
        <v>2.569</v>
      </c>
      <c r="V70" s="3">
        <v>45526</v>
      </c>
      <c r="W70">
        <v>3.4079999999999999</v>
      </c>
      <c r="Y70" s="13"/>
      <c r="AA70" s="12"/>
      <c r="AF70" s="12" t="s">
        <v>278</v>
      </c>
    </row>
    <row r="71" spans="1:32" ht="15.5" x14ac:dyDescent="0.35">
      <c r="A71" t="str">
        <f>main!$B$20 &amp; B71 &amp; "Z=R"</f>
        <v>EUR16YZ=R</v>
      </c>
      <c r="B71" t="s">
        <v>279</v>
      </c>
      <c r="C71" s="3" t="str">
        <f>_xll.RtGet("IDN",A71,"GV1_DATE")</f>
        <v>#N/A The record could not be found</v>
      </c>
      <c r="D71" s="3" t="str">
        <f>_xll.RtGet("IDN",A71,"MATUR_DATE")</f>
        <v>#N/A The record could not be found</v>
      </c>
      <c r="E71" s="3">
        <f t="shared" si="1"/>
        <v>52926</v>
      </c>
      <c r="F71" t="str">
        <f>_xll.RtGet("IDN",A71,"SEC_ACT_1")</f>
        <v>#N/A The record could not be found</v>
      </c>
      <c r="H71" s="12"/>
      <c r="K71" s="12" t="s">
        <v>280</v>
      </c>
      <c r="L71" s="87"/>
      <c r="M71" s="12"/>
      <c r="O71" s="102">
        <v>46678.625</v>
      </c>
      <c r="P71">
        <v>0.24931506849315069</v>
      </c>
      <c r="R71" s="13">
        <v>45525</v>
      </c>
      <c r="S71">
        <v>2.4980000000000002</v>
      </c>
      <c r="T71" s="12">
        <v>2.508</v>
      </c>
      <c r="V71" s="3">
        <v>45525</v>
      </c>
      <c r="W71">
        <v>3.41</v>
      </c>
      <c r="Y71" s="13"/>
      <c r="AA71" s="12"/>
      <c r="AF71" s="12" t="s">
        <v>281</v>
      </c>
    </row>
    <row r="72" spans="1:32" x14ac:dyDescent="0.35">
      <c r="A72" t="str">
        <f>main!$B$20 &amp; B72 &amp; "Z=R"</f>
        <v>EUR16Y3MZ=R</v>
      </c>
      <c r="B72" t="s">
        <v>282</v>
      </c>
      <c r="C72" s="3" t="str">
        <f>_xll.RtGet("IDN",A72,"GV1_DATE")</f>
        <v>#N/A The record could not be found</v>
      </c>
      <c r="D72" s="3" t="str">
        <f>_xll.RtGet("IDN",A72,"MATUR_DATE")</f>
        <v>#N/A The record could not be found</v>
      </c>
      <c r="E72" s="3">
        <f t="shared" si="1"/>
        <v>52926</v>
      </c>
      <c r="F72" t="str">
        <f>_xll.RtGet("IDN",A72,"SEC_ACT_1")</f>
        <v>#N/A The record could not be found</v>
      </c>
      <c r="H72" s="12"/>
      <c r="K72" s="12" t="s">
        <v>283</v>
      </c>
      <c r="L72" s="87"/>
      <c r="M72" s="13"/>
      <c r="O72" s="87"/>
      <c r="P72" s="88"/>
      <c r="R72" s="13">
        <v>45524</v>
      </c>
      <c r="S72">
        <v>2.54</v>
      </c>
      <c r="T72" s="12">
        <v>2.5499999999999998</v>
      </c>
      <c r="V72" s="3">
        <v>45524</v>
      </c>
      <c r="W72">
        <v>3.407</v>
      </c>
      <c r="Y72" s="13"/>
      <c r="AA72" s="12"/>
      <c r="AF72" s="12" t="s">
        <v>284</v>
      </c>
    </row>
    <row r="73" spans="1:32" x14ac:dyDescent="0.35">
      <c r="A73" t="str">
        <f>main!$B$20 &amp; B73 &amp; "Z=R"</f>
        <v>EUR16Y6MZ=R</v>
      </c>
      <c r="B73" t="s">
        <v>285</v>
      </c>
      <c r="C73" s="3" t="str">
        <f>_xll.RtGet("IDN",A73,"GV1_DATE")</f>
        <v>#N/A The record could not be found</v>
      </c>
      <c r="D73" s="3" t="str">
        <f>_xll.RtGet("IDN",A73,"MATUR_DATE")</f>
        <v>#N/A The record could not be found</v>
      </c>
      <c r="E73" s="3">
        <f t="shared" si="1"/>
        <v>52926</v>
      </c>
      <c r="F73" t="str">
        <f>_xll.RtGet("IDN",A73,"SEC_ACT_1")</f>
        <v>#N/A The record could not be found</v>
      </c>
      <c r="H73" s="12"/>
      <c r="K73" s="12" t="s">
        <v>286</v>
      </c>
      <c r="L73" s="87"/>
      <c r="M73" s="13"/>
      <c r="O73" s="87"/>
      <c r="P73" s="88"/>
      <c r="R73" s="13">
        <v>45523</v>
      </c>
      <c r="S73">
        <v>2.5779999999999998</v>
      </c>
      <c r="T73" s="12">
        <v>2.5880000000000001</v>
      </c>
      <c r="V73" s="3">
        <v>45523</v>
      </c>
      <c r="W73">
        <v>3.4079999999999999</v>
      </c>
      <c r="Y73" s="13"/>
      <c r="AA73" s="12"/>
      <c r="AF73" s="12" t="s">
        <v>287</v>
      </c>
    </row>
    <row r="74" spans="1:32" x14ac:dyDescent="0.35">
      <c r="A74" t="str">
        <f>main!$B$20 &amp; B74 &amp; "Z=R"</f>
        <v>EUR16Y9MZ=R</v>
      </c>
      <c r="B74" t="s">
        <v>288</v>
      </c>
      <c r="C74" s="3" t="str">
        <f>_xll.RtGet("IDN",A74,"GV1_DATE")</f>
        <v>#N/A The record could not be found</v>
      </c>
      <c r="D74" s="3" t="str">
        <f>_xll.RtGet("IDN",A74,"MATUR_DATE")</f>
        <v>#N/A The record could not be found</v>
      </c>
      <c r="E74" s="3">
        <f t="shared" si="1"/>
        <v>52926</v>
      </c>
      <c r="F74" t="str">
        <f>_xll.RtGet("IDN",A74,"SEC_ACT_1")</f>
        <v>#N/A The record could not be found</v>
      </c>
      <c r="H74" s="12"/>
      <c r="K74" s="12" t="s">
        <v>289</v>
      </c>
      <c r="L74" s="87"/>
      <c r="M74" s="13"/>
      <c r="O74" s="87"/>
      <c r="P74" s="88"/>
      <c r="R74" s="13">
        <v>45520</v>
      </c>
      <c r="S74">
        <v>2.585</v>
      </c>
      <c r="T74" s="12">
        <v>2.5950000000000002</v>
      </c>
      <c r="V74" s="3">
        <v>45520</v>
      </c>
      <c r="W74">
        <v>3.367</v>
      </c>
      <c r="Y74" s="13"/>
      <c r="AA74" s="12"/>
      <c r="AF74" s="12" t="s">
        <v>290</v>
      </c>
    </row>
    <row r="75" spans="1:32" x14ac:dyDescent="0.35">
      <c r="A75" t="str">
        <f>main!$B$20 &amp; B75 &amp; "Z=R"</f>
        <v>EUR17YZ=R</v>
      </c>
      <c r="B75" t="s">
        <v>291</v>
      </c>
      <c r="C75" s="3" t="str">
        <f>_xll.RtGet("IDN",A75,"GV1_DATE")</f>
        <v>#N/A The record could not be found</v>
      </c>
      <c r="D75" s="3" t="str">
        <f>_xll.RtGet("IDN",A75,"MATUR_DATE")</f>
        <v>#N/A The record could not be found</v>
      </c>
      <c r="E75" s="3">
        <f t="shared" si="1"/>
        <v>52926</v>
      </c>
      <c r="F75" t="str">
        <f>_xll.RtGet("IDN",A75,"SEC_ACT_1")</f>
        <v>#N/A The record could not be found</v>
      </c>
      <c r="H75" s="12"/>
      <c r="K75" s="12" t="s">
        <v>292</v>
      </c>
      <c r="L75" s="87"/>
      <c r="M75" s="13"/>
      <c r="O75" s="87"/>
      <c r="P75" s="88"/>
      <c r="R75" s="13">
        <v>45519</v>
      </c>
      <c r="S75">
        <v>2.597</v>
      </c>
      <c r="T75" s="12">
        <v>2.6070000000000002</v>
      </c>
      <c r="V75" s="3">
        <v>45519</v>
      </c>
      <c r="W75">
        <v>3.375</v>
      </c>
      <c r="Y75" s="13"/>
      <c r="AA75" s="12"/>
      <c r="AF75" s="12" t="s">
        <v>293</v>
      </c>
    </row>
    <row r="76" spans="1:32" x14ac:dyDescent="0.35">
      <c r="A76" t="str">
        <f>main!$B$20 &amp; B76 &amp; "Z=R"</f>
        <v>EUR17Y3MZ=R</v>
      </c>
      <c r="B76" t="s">
        <v>294</v>
      </c>
      <c r="C76" s="3" t="str">
        <f>_xll.RtGet("IDN",A76,"GV1_DATE")</f>
        <v>#N/A The record could not be found</v>
      </c>
      <c r="D76" s="3" t="str">
        <f>_xll.RtGet("IDN",A76,"MATUR_DATE")</f>
        <v>#N/A The record could not be found</v>
      </c>
      <c r="E76" s="3">
        <f t="shared" si="1"/>
        <v>52926</v>
      </c>
      <c r="F76" t="str">
        <f>_xll.RtGet("IDN",A76,"SEC_ACT_1")</f>
        <v>#N/A The record could not be found</v>
      </c>
      <c r="H76" s="12"/>
      <c r="K76" s="12" t="s">
        <v>295</v>
      </c>
      <c r="L76" s="3"/>
      <c r="M76" s="13"/>
      <c r="O76" s="87"/>
      <c r="P76" s="88"/>
      <c r="R76" s="13">
        <v>45518</v>
      </c>
      <c r="S76">
        <v>2.508</v>
      </c>
      <c r="T76" s="12">
        <v>2.5179999999999998</v>
      </c>
      <c r="V76" s="3">
        <v>45518</v>
      </c>
      <c r="W76">
        <v>3.3980000000000001</v>
      </c>
      <c r="Y76" s="13"/>
      <c r="AA76" s="12"/>
      <c r="AF76" s="12" t="s">
        <v>296</v>
      </c>
    </row>
    <row r="77" spans="1:32" x14ac:dyDescent="0.35">
      <c r="A77" t="str">
        <f>main!$B$20 &amp; B77 &amp; "Z=R"</f>
        <v>EUR17Y6MZ=R</v>
      </c>
      <c r="B77" t="s">
        <v>297</v>
      </c>
      <c r="C77" s="3" t="str">
        <f>_xll.RtGet("IDN",A77,"GV1_DATE")</f>
        <v>#N/A The record could not be found</v>
      </c>
      <c r="D77" s="3" t="str">
        <f>_xll.RtGet("IDN",A77,"MATUR_DATE")</f>
        <v>#N/A The record could not be found</v>
      </c>
      <c r="E77" s="3">
        <f t="shared" si="1"/>
        <v>52926</v>
      </c>
      <c r="F77" t="str">
        <f>_xll.RtGet("IDN",A77,"SEC_ACT_1")</f>
        <v>#N/A The record could not be found</v>
      </c>
      <c r="H77" s="12"/>
      <c r="K77" s="12" t="s">
        <v>298</v>
      </c>
      <c r="L77" s="3"/>
      <c r="M77" s="13"/>
      <c r="O77" s="87"/>
      <c r="P77" s="88"/>
      <c r="R77" s="13">
        <v>45517</v>
      </c>
      <c r="S77">
        <v>2.5150000000000001</v>
      </c>
      <c r="T77" s="12">
        <v>2.5249999999999999</v>
      </c>
      <c r="V77" s="3">
        <v>45517</v>
      </c>
      <c r="W77">
        <v>3.4409999999999998</v>
      </c>
      <c r="Y77" s="13"/>
      <c r="AA77" s="12"/>
      <c r="AF77" s="12" t="s">
        <v>299</v>
      </c>
    </row>
    <row r="78" spans="1:32" x14ac:dyDescent="0.35">
      <c r="A78" t="str">
        <f>main!$B$20 &amp; B78 &amp; "Z=R"</f>
        <v>EUR17Y9MZ=R</v>
      </c>
      <c r="B78" t="s">
        <v>300</v>
      </c>
      <c r="C78" s="3" t="str">
        <f>_xll.RtGet("IDN",A78,"GV1_DATE")</f>
        <v>#N/A The record could not be found</v>
      </c>
      <c r="D78" s="3" t="str">
        <f>_xll.RtGet("IDN",A78,"MATUR_DATE")</f>
        <v>#N/A The record could not be found</v>
      </c>
      <c r="E78" s="3">
        <f t="shared" si="1"/>
        <v>52926</v>
      </c>
      <c r="F78" t="str">
        <f>_xll.RtGet("IDN",A78,"SEC_ACT_1")</f>
        <v>#N/A The record could not be found</v>
      </c>
      <c r="H78" s="12"/>
      <c r="K78" s="12" t="s">
        <v>301</v>
      </c>
      <c r="L78" s="3"/>
      <c r="M78" s="13"/>
      <c r="O78" s="87"/>
      <c r="P78" s="88"/>
      <c r="R78" s="13">
        <v>45516</v>
      </c>
      <c r="S78">
        <v>2.56</v>
      </c>
      <c r="T78" s="12">
        <v>2.57</v>
      </c>
      <c r="V78" s="3">
        <v>45516</v>
      </c>
      <c r="W78">
        <v>3.4449999999999998</v>
      </c>
      <c r="Y78" s="13"/>
      <c r="AA78" s="12"/>
      <c r="AF78" s="12" t="s">
        <v>302</v>
      </c>
    </row>
    <row r="79" spans="1:32" x14ac:dyDescent="0.35">
      <c r="A79" t="str">
        <f>main!$B$20 &amp; B79 &amp; "Z=R"</f>
        <v>EUR18YZ=R</v>
      </c>
      <c r="B79" t="s">
        <v>303</v>
      </c>
      <c r="C79" s="3" t="str">
        <f>_xll.RtGet("IDN",A79,"GV1_DATE")</f>
        <v>#N/A The record could not be found</v>
      </c>
      <c r="D79" s="3" t="str">
        <f>_xll.RtGet("IDN",A79,"MATUR_DATE")</f>
        <v>#N/A The record could not be found</v>
      </c>
      <c r="E79" s="3">
        <f t="shared" si="1"/>
        <v>52926</v>
      </c>
      <c r="F79" t="str">
        <f>_xll.RtGet("IDN",A79,"SEC_ACT_1")</f>
        <v>#N/A The record could not be found</v>
      </c>
      <c r="H79" s="12"/>
      <c r="K79" s="12" t="s">
        <v>304</v>
      </c>
      <c r="L79" s="3"/>
      <c r="M79" s="13"/>
      <c r="O79" s="87"/>
      <c r="P79" s="88"/>
      <c r="R79" s="13">
        <v>45513</v>
      </c>
      <c r="S79">
        <v>2.5670000000000002</v>
      </c>
      <c r="T79" s="12">
        <v>2.577</v>
      </c>
      <c r="V79" s="3">
        <v>45513</v>
      </c>
      <c r="W79">
        <v>3.4369999999999998</v>
      </c>
      <c r="Y79" s="13"/>
      <c r="AA79" s="12"/>
      <c r="AF79" s="12" t="s">
        <v>305</v>
      </c>
    </row>
    <row r="80" spans="1:32" x14ac:dyDescent="0.35">
      <c r="A80" t="str">
        <f>main!$B$20 &amp; B80 &amp; "Z=R"</f>
        <v>EUR18Y3MZ=R</v>
      </c>
      <c r="B80" t="s">
        <v>306</v>
      </c>
      <c r="C80" s="3" t="str">
        <f>_xll.RtGet("IDN",A80,"GV1_DATE")</f>
        <v>#N/A The record could not be found</v>
      </c>
      <c r="D80" s="3" t="str">
        <f>_xll.RtGet("IDN",A80,"MATUR_DATE")</f>
        <v>#N/A The record could not be found</v>
      </c>
      <c r="E80" s="3">
        <f t="shared" si="1"/>
        <v>52926</v>
      </c>
      <c r="F80" t="str">
        <f>_xll.RtGet("IDN",A80,"SEC_ACT_1")</f>
        <v>#N/A The record could not be found</v>
      </c>
      <c r="H80" s="12"/>
      <c r="K80" s="12" t="s">
        <v>307</v>
      </c>
      <c r="L80" s="3"/>
      <c r="M80" s="13"/>
      <c r="O80" s="87"/>
      <c r="P80" s="88"/>
      <c r="R80" s="13">
        <v>45512</v>
      </c>
      <c r="S80">
        <v>2.589</v>
      </c>
      <c r="T80" s="12">
        <v>2.5990000000000002</v>
      </c>
      <c r="V80" s="3">
        <v>45512</v>
      </c>
      <c r="W80">
        <v>3.488</v>
      </c>
      <c r="Y80" s="13"/>
      <c r="AA80" s="12"/>
      <c r="AF80" s="12" t="s">
        <v>308</v>
      </c>
    </row>
    <row r="81" spans="1:32" x14ac:dyDescent="0.35">
      <c r="A81" t="str">
        <f>main!$B$20 &amp; B81 &amp; "Z=R"</f>
        <v>EUR18Y6MZ=R</v>
      </c>
      <c r="B81" t="s">
        <v>309</v>
      </c>
      <c r="C81" s="3" t="str">
        <f>_xll.RtGet("IDN",A81,"GV1_DATE")</f>
        <v>#N/A The record could not be found</v>
      </c>
      <c r="D81" s="3" t="str">
        <f>_xll.RtGet("IDN",A81,"MATUR_DATE")</f>
        <v>#N/A The record could not be found</v>
      </c>
      <c r="E81" s="3">
        <f t="shared" si="1"/>
        <v>52926</v>
      </c>
      <c r="F81" t="str">
        <f>_xll.RtGet("IDN",A81,"SEC_ACT_1")</f>
        <v>#N/A The record could not be found</v>
      </c>
      <c r="H81" s="12"/>
      <c r="K81" s="12" t="s">
        <v>310</v>
      </c>
      <c r="L81" s="3"/>
      <c r="M81" s="13"/>
      <c r="O81" s="87"/>
      <c r="P81" s="88"/>
      <c r="R81" s="13">
        <v>45511</v>
      </c>
      <c r="S81">
        <v>2.597</v>
      </c>
      <c r="T81" s="12">
        <v>2.6070000000000002</v>
      </c>
      <c r="V81" s="3">
        <v>45511</v>
      </c>
      <c r="W81">
        <v>3.4620000000000002</v>
      </c>
      <c r="Y81" s="13"/>
      <c r="AA81" s="12"/>
      <c r="AF81" s="12" t="s">
        <v>311</v>
      </c>
    </row>
    <row r="82" spans="1:32" x14ac:dyDescent="0.35">
      <c r="A82" t="str">
        <f>main!$B$20 &amp; B82 &amp; "Z=R"</f>
        <v>EUR18Y9MZ=R</v>
      </c>
      <c r="B82" t="s">
        <v>312</v>
      </c>
      <c r="C82" s="3" t="str">
        <f>_xll.RtGet("IDN",A82,"GV1_DATE")</f>
        <v>#N/A The record could not be found</v>
      </c>
      <c r="D82" s="3" t="str">
        <f>_xll.RtGet("IDN",A82,"MATUR_DATE")</f>
        <v>#N/A The record could not be found</v>
      </c>
      <c r="E82" s="3">
        <f t="shared" si="1"/>
        <v>52926</v>
      </c>
      <c r="F82" t="str">
        <f>_xll.RtGet("IDN",A82,"SEC_ACT_1")</f>
        <v>#N/A The record could not be found</v>
      </c>
      <c r="H82" s="12"/>
      <c r="K82" s="12" t="s">
        <v>313</v>
      </c>
      <c r="L82" s="3"/>
      <c r="M82" s="13"/>
      <c r="O82" s="87"/>
      <c r="P82" s="88"/>
      <c r="R82" s="13">
        <v>45510</v>
      </c>
      <c r="S82">
        <v>2.5760000000000001</v>
      </c>
      <c r="T82" s="12">
        <v>2.5859999999999999</v>
      </c>
      <c r="V82" s="3">
        <v>45510</v>
      </c>
      <c r="W82">
        <v>3.3969999999999998</v>
      </c>
      <c r="Y82" s="13"/>
      <c r="AA82" s="12"/>
      <c r="AF82" s="12" t="s">
        <v>314</v>
      </c>
    </row>
    <row r="83" spans="1:32" x14ac:dyDescent="0.35">
      <c r="A83" t="str">
        <f>main!$B$20 &amp; B83 &amp; "Z=R"</f>
        <v>EUR19YZ=R</v>
      </c>
      <c r="B83" t="s">
        <v>315</v>
      </c>
      <c r="C83" s="3" t="str">
        <f>_xll.RtGet("IDN",A83,"GV1_DATE")</f>
        <v>#N/A The record could not be found</v>
      </c>
      <c r="D83" s="3" t="str">
        <f>_xll.RtGet("IDN",A83,"MATUR_DATE")</f>
        <v>#N/A The record could not be found</v>
      </c>
      <c r="E83" s="3">
        <f t="shared" si="1"/>
        <v>52926</v>
      </c>
      <c r="F83" t="str">
        <f>_xll.RtGet("IDN",A83,"SEC_ACT_1")</f>
        <v>#N/A The record could not be found</v>
      </c>
      <c r="H83" s="12"/>
      <c r="K83" s="12" t="s">
        <v>316</v>
      </c>
      <c r="L83" s="3"/>
      <c r="M83" s="13"/>
      <c r="O83" s="87"/>
      <c r="P83" s="88"/>
      <c r="R83" s="13">
        <v>45509</v>
      </c>
      <c r="S83">
        <v>2.5750000000000002</v>
      </c>
      <c r="T83" s="12">
        <v>2.585</v>
      </c>
      <c r="V83" s="3">
        <v>45509</v>
      </c>
      <c r="W83">
        <v>3.4940000000000002</v>
      </c>
      <c r="Y83" s="13"/>
      <c r="AA83" s="12"/>
      <c r="AF83" s="12" t="s">
        <v>317</v>
      </c>
    </row>
    <row r="84" spans="1:32" x14ac:dyDescent="0.35">
      <c r="A84" t="str">
        <f>main!$B$20 &amp; B84 &amp; "Z=R"</f>
        <v>EUR19Y3MZ=R</v>
      </c>
      <c r="B84" t="s">
        <v>318</v>
      </c>
      <c r="C84" s="3" t="str">
        <f>_xll.RtGet("IDN",A84,"GV1_DATE")</f>
        <v>#N/A The record could not be found</v>
      </c>
      <c r="D84" s="3" t="str">
        <f>_xll.RtGet("IDN",A84,"MATUR_DATE")</f>
        <v>#N/A The record could not be found</v>
      </c>
      <c r="E84" s="3">
        <f t="shared" si="1"/>
        <v>52926</v>
      </c>
      <c r="F84" t="str">
        <f>_xll.RtGet("IDN",A84,"SEC_ACT_1")</f>
        <v>#N/A The record could not be found</v>
      </c>
      <c r="H84" s="12"/>
      <c r="K84" s="12" t="s">
        <v>319</v>
      </c>
      <c r="L84" s="3"/>
      <c r="M84" s="13"/>
      <c r="O84" s="87"/>
      <c r="P84" s="88"/>
      <c r="R84" s="13">
        <v>45506</v>
      </c>
      <c r="S84">
        <v>2.5670000000000002</v>
      </c>
      <c r="T84" s="12">
        <v>2.577</v>
      </c>
      <c r="V84" s="3">
        <v>45506</v>
      </c>
      <c r="W84">
        <v>3.5529999999999999</v>
      </c>
      <c r="Y84" s="13"/>
      <c r="AA84" s="12"/>
      <c r="AF84" s="12" t="s">
        <v>320</v>
      </c>
    </row>
    <row r="85" spans="1:32" x14ac:dyDescent="0.35">
      <c r="A85" t="str">
        <f>main!$B$20 &amp; B85 &amp; "Z=R"</f>
        <v>EUR19Y6MZ=R</v>
      </c>
      <c r="B85" t="s">
        <v>321</v>
      </c>
      <c r="C85" s="3" t="str">
        <f>_xll.RtGet("IDN",A85,"GV1_DATE")</f>
        <v>#N/A The record could not be found</v>
      </c>
      <c r="D85" s="3" t="str">
        <f>_xll.RtGet("IDN",A85,"MATUR_DATE")</f>
        <v>#N/A The record could not be found</v>
      </c>
      <c r="E85" s="3">
        <f t="shared" si="1"/>
        <v>52926</v>
      </c>
      <c r="F85" t="str">
        <f>_xll.RtGet("IDN",A85,"SEC_ACT_1")</f>
        <v>#N/A The record could not be found</v>
      </c>
      <c r="H85" s="12"/>
      <c r="K85" s="12" t="s">
        <v>322</v>
      </c>
      <c r="L85" s="3"/>
      <c r="M85" s="13"/>
      <c r="O85" s="87"/>
      <c r="P85" s="88"/>
      <c r="R85" s="13">
        <v>45505</v>
      </c>
      <c r="S85">
        <v>2.62</v>
      </c>
      <c r="T85" s="12">
        <v>2.63</v>
      </c>
      <c r="V85" s="3">
        <v>45505</v>
      </c>
      <c r="W85">
        <v>3.5630000000000002</v>
      </c>
      <c r="Y85" s="13"/>
      <c r="AA85" s="12"/>
      <c r="AF85" s="12" t="s">
        <v>323</v>
      </c>
    </row>
    <row r="86" spans="1:32" x14ac:dyDescent="0.35">
      <c r="A86" t="str">
        <f>main!$B$20 &amp; B86 &amp; "Z=R"</f>
        <v>EUR19Y9MZ=R</v>
      </c>
      <c r="B86" t="s">
        <v>324</v>
      </c>
      <c r="C86" s="3" t="str">
        <f>_xll.RtGet("IDN",A86,"GV1_DATE")</f>
        <v>#N/A The record could not be found</v>
      </c>
      <c r="D86" s="3" t="str">
        <f>_xll.RtGet("IDN",A86,"MATUR_DATE")</f>
        <v>#N/A The record could not be found</v>
      </c>
      <c r="E86" s="3">
        <f t="shared" si="1"/>
        <v>52926</v>
      </c>
      <c r="F86" t="str">
        <f>_xll.RtGet("IDN",A86,"SEC_ACT_1")</f>
        <v>#N/A The record could not be found</v>
      </c>
      <c r="H86" s="12"/>
      <c r="K86" s="12" t="s">
        <v>325</v>
      </c>
      <c r="L86" s="3"/>
      <c r="M86" s="13"/>
      <c r="O86" s="87"/>
      <c r="P86" s="88"/>
      <c r="R86" s="13">
        <v>45504</v>
      </c>
      <c r="S86">
        <v>2.6869999999999998</v>
      </c>
      <c r="T86" s="12">
        <v>2.6970000000000001</v>
      </c>
      <c r="V86" s="3">
        <v>45504</v>
      </c>
      <c r="W86">
        <v>3.5790000000000002</v>
      </c>
      <c r="Y86" s="13"/>
      <c r="AA86" s="12"/>
      <c r="AF86" s="12" t="s">
        <v>326</v>
      </c>
    </row>
    <row r="87" spans="1:32" x14ac:dyDescent="0.35">
      <c r="A87" t="str">
        <f>main!$B$20 &amp; B87 &amp; "Z=R"</f>
        <v>EUR20YZ=R</v>
      </c>
      <c r="B87" t="s">
        <v>327</v>
      </c>
      <c r="C87" s="3">
        <f>_xll.RtGet("IDN",A87,"GV1_DATE")</f>
        <v>45617</v>
      </c>
      <c r="D87" s="3">
        <f>_xll.RtGet("IDN",A87,"MATUR_DATE")</f>
        <v>52926</v>
      </c>
      <c r="E87" s="3">
        <f t="shared" si="1"/>
        <v>54752</v>
      </c>
      <c r="F87">
        <f>_xll.RtGet("IDN",A87,"SEC_ACT_1")</f>
        <v>0.63190342700000002</v>
      </c>
      <c r="H87" s="12"/>
      <c r="K87" s="12" t="s">
        <v>328</v>
      </c>
      <c r="L87" s="3"/>
      <c r="M87" s="13"/>
      <c r="O87" s="87"/>
      <c r="P87" s="88"/>
      <c r="R87" s="13">
        <v>45503</v>
      </c>
      <c r="S87">
        <v>2.7080000000000002</v>
      </c>
      <c r="T87" s="12">
        <v>2.718</v>
      </c>
      <c r="V87" s="3">
        <v>45503</v>
      </c>
      <c r="W87">
        <v>3.585</v>
      </c>
      <c r="Y87" s="13"/>
      <c r="AA87" s="12"/>
      <c r="AF87" s="12" t="s">
        <v>329</v>
      </c>
    </row>
    <row r="88" spans="1:32" x14ac:dyDescent="0.35">
      <c r="A88" t="str">
        <f>main!$B$20 &amp; B88 &amp; "Z=R"</f>
        <v>EUR20Y3MZ=R</v>
      </c>
      <c r="B88" t="s">
        <v>330</v>
      </c>
      <c r="C88" s="3" t="str">
        <f>_xll.RtGet("IDN",A88,"GV1_DATE")</f>
        <v>#N/A The record could not be found</v>
      </c>
      <c r="D88" s="3" t="str">
        <f>_xll.RtGet("IDN",A88,"MATUR_DATE")</f>
        <v>#N/A The record could not be found</v>
      </c>
      <c r="E88" s="3">
        <f t="shared" si="1"/>
        <v>54752</v>
      </c>
      <c r="F88" t="str">
        <f>_xll.RtGet("IDN",A88,"SEC_ACT_1")</f>
        <v>#N/A The record could not be found</v>
      </c>
      <c r="H88" s="12"/>
      <c r="K88" s="12" t="s">
        <v>331</v>
      </c>
      <c r="L88" s="3"/>
      <c r="M88" s="13"/>
      <c r="O88" s="87"/>
      <c r="P88" s="88"/>
      <c r="R88" s="13">
        <v>45502</v>
      </c>
      <c r="S88">
        <v>2.7559999999999998</v>
      </c>
      <c r="T88" s="12">
        <v>2.766</v>
      </c>
      <c r="V88" s="3">
        <v>45502</v>
      </c>
      <c r="W88">
        <v>3.59</v>
      </c>
      <c r="Y88" s="13"/>
      <c r="AA88" s="12"/>
      <c r="AF88" s="12" t="s">
        <v>332</v>
      </c>
    </row>
    <row r="89" spans="1:32" x14ac:dyDescent="0.35">
      <c r="A89" t="str">
        <f>main!$B$20 &amp; B89 &amp; "Z=R"</f>
        <v>EUR20Y6MZ=R</v>
      </c>
      <c r="B89" t="s">
        <v>333</v>
      </c>
      <c r="C89" s="3" t="str">
        <f>_xll.RtGet("IDN",A89,"GV1_DATE")</f>
        <v>#N/A The record could not be found</v>
      </c>
      <c r="D89" s="3" t="str">
        <f>_xll.RtGet("IDN",A89,"MATUR_DATE")</f>
        <v>#N/A The record could not be found</v>
      </c>
      <c r="E89" s="3">
        <f t="shared" si="1"/>
        <v>54752</v>
      </c>
      <c r="F89" t="str">
        <f>_xll.RtGet("IDN",A89,"SEC_ACT_1")</f>
        <v>#N/A The record could not be found</v>
      </c>
      <c r="H89" s="12"/>
      <c r="K89" s="12" t="s">
        <v>334</v>
      </c>
      <c r="L89" s="3"/>
      <c r="M89" s="13"/>
      <c r="O89" s="87"/>
      <c r="P89" s="88"/>
      <c r="R89" s="13">
        <v>45499</v>
      </c>
      <c r="S89">
        <v>2.7850000000000001</v>
      </c>
      <c r="T89" s="12">
        <v>2.7949999999999999</v>
      </c>
      <c r="V89" s="3">
        <v>45499</v>
      </c>
      <c r="W89">
        <v>3.5910000000000002</v>
      </c>
      <c r="Y89" s="13"/>
      <c r="AA89" s="12"/>
      <c r="AF89" s="12" t="s">
        <v>335</v>
      </c>
    </row>
    <row r="90" spans="1:32" x14ac:dyDescent="0.35">
      <c r="A90" t="str">
        <f>main!$B$20 &amp; B90 &amp; "Z=R"</f>
        <v>EUR20Y9MZ=R</v>
      </c>
      <c r="B90" t="s">
        <v>336</v>
      </c>
      <c r="C90" s="3" t="str">
        <f>_xll.RtGet("IDN",A90,"GV1_DATE")</f>
        <v>#N/A The record could not be found</v>
      </c>
      <c r="D90" s="3" t="str">
        <f>_xll.RtGet("IDN",A90,"MATUR_DATE")</f>
        <v>#N/A The record could not be found</v>
      </c>
      <c r="E90" s="3">
        <f t="shared" si="1"/>
        <v>54752</v>
      </c>
      <c r="F90" t="str">
        <f>_xll.RtGet("IDN",A90,"SEC_ACT_1")</f>
        <v>#N/A The record could not be found</v>
      </c>
      <c r="H90" s="12"/>
      <c r="K90" s="12" t="s">
        <v>337</v>
      </c>
      <c r="L90" s="3"/>
      <c r="M90" s="13"/>
      <c r="O90" s="87"/>
      <c r="P90" s="88"/>
      <c r="R90" s="13">
        <v>45498</v>
      </c>
      <c r="S90">
        <v>2.8380000000000001</v>
      </c>
      <c r="T90" s="12">
        <v>2.8420000000000001</v>
      </c>
      <c r="V90" s="3">
        <v>45498</v>
      </c>
      <c r="W90">
        <v>3.6190000000000002</v>
      </c>
      <c r="Y90" s="13"/>
      <c r="AA90" s="12"/>
      <c r="AF90" s="12" t="s">
        <v>338</v>
      </c>
    </row>
    <row r="91" spans="1:32" x14ac:dyDescent="0.35">
      <c r="A91" t="str">
        <f>main!$B$20 &amp; B91 &amp; "Z=R"</f>
        <v>EUR21YZ=R</v>
      </c>
      <c r="B91" t="s">
        <v>339</v>
      </c>
      <c r="C91" s="3" t="str">
        <f>_xll.RtGet("IDN",A91,"GV1_DATE")</f>
        <v>#N/A The record could not be found</v>
      </c>
      <c r="D91" s="3" t="str">
        <f>_xll.RtGet("IDN",A91,"MATUR_DATE")</f>
        <v>#N/A The record could not be found</v>
      </c>
      <c r="E91" s="3">
        <f t="shared" si="1"/>
        <v>54752</v>
      </c>
      <c r="F91" t="str">
        <f>_xll.RtGet("IDN",A91,"SEC_ACT_1")</f>
        <v>#N/A The record could not be found</v>
      </c>
      <c r="H91" s="12"/>
      <c r="K91" s="12" t="s">
        <v>340</v>
      </c>
      <c r="L91" s="3"/>
      <c r="M91" s="13"/>
      <c r="O91" s="87"/>
      <c r="P91" s="88"/>
      <c r="R91" s="13">
        <v>45497</v>
      </c>
      <c r="S91">
        <v>2.8279999999999998</v>
      </c>
      <c r="T91" s="12">
        <v>2.8380000000000001</v>
      </c>
      <c r="V91" s="3">
        <v>45497</v>
      </c>
      <c r="W91">
        <v>3.6520000000000001</v>
      </c>
      <c r="Y91" s="13"/>
      <c r="AA91" s="12"/>
      <c r="AF91" s="12" t="s">
        <v>341</v>
      </c>
    </row>
    <row r="92" spans="1:32" x14ac:dyDescent="0.35">
      <c r="A92" t="str">
        <f>main!$B$20 &amp; B92 &amp; "Z=R"</f>
        <v>EUR21Y3MZ=R</v>
      </c>
      <c r="B92" t="s">
        <v>342</v>
      </c>
      <c r="C92" s="3" t="str">
        <f>_xll.RtGet("IDN",A92,"GV1_DATE")</f>
        <v>#N/A The record could not be found</v>
      </c>
      <c r="D92" s="3" t="str">
        <f>_xll.RtGet("IDN",A92,"MATUR_DATE")</f>
        <v>#N/A The record could not be found</v>
      </c>
      <c r="E92" s="3">
        <f t="shared" si="1"/>
        <v>54752</v>
      </c>
      <c r="F92" t="str">
        <f>_xll.RtGet("IDN",A92,"SEC_ACT_1")</f>
        <v>#N/A The record could not be found</v>
      </c>
      <c r="H92" s="12"/>
      <c r="K92" s="12" t="s">
        <v>343</v>
      </c>
      <c r="L92" s="3"/>
      <c r="M92" s="13"/>
      <c r="O92" s="87"/>
      <c r="P92" s="88"/>
      <c r="R92" s="13">
        <v>45496</v>
      </c>
      <c r="S92">
        <v>2.859</v>
      </c>
      <c r="T92" s="12">
        <v>2.8690000000000002</v>
      </c>
      <c r="V92" s="3">
        <v>45496</v>
      </c>
      <c r="W92">
        <v>3.6419999999999999</v>
      </c>
      <c r="Y92" s="13"/>
      <c r="AA92" s="12"/>
      <c r="AF92" s="12" t="s">
        <v>344</v>
      </c>
    </row>
    <row r="93" spans="1:32" x14ac:dyDescent="0.35">
      <c r="A93" t="str">
        <f>main!$B$20 &amp; B93 &amp; "Z=R"</f>
        <v>EUR21Y6MZ=R</v>
      </c>
      <c r="B93" t="s">
        <v>345</v>
      </c>
      <c r="C93" s="3" t="str">
        <f>_xll.RtGet("IDN",A93,"GV1_DATE")</f>
        <v>#N/A The record could not be found</v>
      </c>
      <c r="D93" s="3" t="str">
        <f>_xll.RtGet("IDN",A93,"MATUR_DATE")</f>
        <v>#N/A The record could not be found</v>
      </c>
      <c r="E93" s="3">
        <f t="shared" si="1"/>
        <v>54752</v>
      </c>
      <c r="F93" t="str">
        <f>_xll.RtGet("IDN",A93,"SEC_ACT_1")</f>
        <v>#N/A The record could not be found</v>
      </c>
      <c r="H93" s="12"/>
      <c r="K93" s="12" t="s">
        <v>346</v>
      </c>
      <c r="L93" s="3"/>
      <c r="M93" s="13"/>
      <c r="O93" s="87"/>
      <c r="P93" s="88"/>
      <c r="R93" s="13">
        <v>45495</v>
      </c>
      <c r="S93">
        <v>2.9089999999999998</v>
      </c>
      <c r="T93" s="12">
        <v>2.919</v>
      </c>
      <c r="V93" s="3">
        <v>45495</v>
      </c>
      <c r="W93">
        <v>3.641</v>
      </c>
      <c r="Y93" s="13"/>
      <c r="AA93" s="12"/>
      <c r="AF93" s="12" t="s">
        <v>347</v>
      </c>
    </row>
    <row r="94" spans="1:32" x14ac:dyDescent="0.35">
      <c r="A94" t="str">
        <f>main!$B$20 &amp; B94 &amp; "Z=R"</f>
        <v>EUR21Y9MZ=R</v>
      </c>
      <c r="B94" t="s">
        <v>348</v>
      </c>
      <c r="C94" s="3" t="str">
        <f>_xll.RtGet("IDN",A94,"GV1_DATE")</f>
        <v>#N/A The record could not be found</v>
      </c>
      <c r="D94" s="3" t="str">
        <f>_xll.RtGet("IDN",A94,"MATUR_DATE")</f>
        <v>#N/A The record could not be found</v>
      </c>
      <c r="E94" s="3">
        <f t="shared" si="1"/>
        <v>54752</v>
      </c>
      <c r="F94" t="str">
        <f>_xll.RtGet("IDN",A94,"SEC_ACT_1")</f>
        <v>#N/A The record could not be found</v>
      </c>
      <c r="H94" s="12"/>
      <c r="K94" s="12" t="s">
        <v>349</v>
      </c>
      <c r="L94" s="3"/>
      <c r="M94" s="13"/>
      <c r="O94" s="87"/>
      <c r="P94" s="88"/>
      <c r="R94" s="13">
        <v>45492</v>
      </c>
      <c r="S94">
        <v>2.8919999999999999</v>
      </c>
      <c r="T94" s="12">
        <v>2.8959999999999999</v>
      </c>
      <c r="V94" s="3">
        <v>45492</v>
      </c>
      <c r="W94">
        <v>3.633</v>
      </c>
      <c r="Y94" s="13"/>
      <c r="AA94" s="12"/>
      <c r="AF94" s="12" t="s">
        <v>350</v>
      </c>
    </row>
    <row r="95" spans="1:32" x14ac:dyDescent="0.35">
      <c r="A95" t="str">
        <f>main!$B$20 &amp; B95 &amp; "Z=R"</f>
        <v>EUR22YZ=R</v>
      </c>
      <c r="B95" t="s">
        <v>351</v>
      </c>
      <c r="C95" s="3" t="str">
        <f>_xll.RtGet("IDN",A95,"GV1_DATE")</f>
        <v>#N/A The record could not be found</v>
      </c>
      <c r="D95" s="3" t="str">
        <f>_xll.RtGet("IDN",A95,"MATUR_DATE")</f>
        <v>#N/A The record could not be found</v>
      </c>
      <c r="E95" s="3">
        <f t="shared" si="1"/>
        <v>54752</v>
      </c>
      <c r="F95" t="str">
        <f>_xll.RtGet("IDN",A95,"SEC_ACT_1")</f>
        <v>#N/A The record could not be found</v>
      </c>
      <c r="H95" s="12"/>
      <c r="K95" s="12" t="s">
        <v>352</v>
      </c>
      <c r="L95" s="3"/>
      <c r="M95" s="13"/>
      <c r="O95" s="87"/>
      <c r="P95" s="88"/>
      <c r="R95" s="13">
        <v>45491</v>
      </c>
      <c r="S95">
        <v>2.8450000000000002</v>
      </c>
      <c r="T95" s="12">
        <v>2.855</v>
      </c>
      <c r="V95" s="3">
        <v>45491</v>
      </c>
      <c r="W95">
        <v>3.6240000000000001</v>
      </c>
      <c r="Y95" s="13"/>
      <c r="AA95" s="12"/>
      <c r="AF95" s="12" t="s">
        <v>353</v>
      </c>
    </row>
    <row r="96" spans="1:32" x14ac:dyDescent="0.35">
      <c r="A96" t="str">
        <f>main!$B$20 &amp; B96 &amp; "Z=R"</f>
        <v>EUR22Y3MZ=R</v>
      </c>
      <c r="B96" t="s">
        <v>354</v>
      </c>
      <c r="C96" s="3" t="str">
        <f>_xll.RtGet("IDN",A96,"GV1_DATE")</f>
        <v>#N/A The record could not be found</v>
      </c>
      <c r="D96" s="3" t="str">
        <f>_xll.RtGet("IDN",A96,"MATUR_DATE")</f>
        <v>#N/A The record could not be found</v>
      </c>
      <c r="E96" s="3">
        <f t="shared" si="1"/>
        <v>54752</v>
      </c>
      <c r="F96" t="str">
        <f>_xll.RtGet("IDN",A96,"SEC_ACT_1")</f>
        <v>#N/A The record could not be found</v>
      </c>
      <c r="H96" s="12"/>
      <c r="K96" s="12" t="s">
        <v>355</v>
      </c>
      <c r="L96" s="3"/>
      <c r="M96" s="13"/>
      <c r="O96" s="87"/>
      <c r="P96" s="88"/>
      <c r="R96" s="13">
        <v>45490</v>
      </c>
      <c r="S96">
        <v>2.859</v>
      </c>
      <c r="T96" s="12">
        <v>2.8690000000000002</v>
      </c>
      <c r="V96" s="3">
        <v>45490</v>
      </c>
      <c r="W96">
        <v>3.62</v>
      </c>
      <c r="Y96" s="13"/>
      <c r="AA96" s="12"/>
      <c r="AF96" s="12" t="s">
        <v>356</v>
      </c>
    </row>
    <row r="97" spans="1:32" x14ac:dyDescent="0.35">
      <c r="A97" t="str">
        <f>main!$B$20 &amp; B97 &amp; "Z=R"</f>
        <v>EUR22Y6MZ=R</v>
      </c>
      <c r="B97" t="s">
        <v>357</v>
      </c>
      <c r="C97" s="3" t="str">
        <f>_xll.RtGet("IDN",A97,"GV1_DATE")</f>
        <v>#N/A The record could not be found</v>
      </c>
      <c r="D97" s="3" t="str">
        <f>_xll.RtGet("IDN",A97,"MATUR_DATE")</f>
        <v>#N/A The record could not be found</v>
      </c>
      <c r="E97" s="3">
        <f t="shared" si="1"/>
        <v>54752</v>
      </c>
      <c r="F97" t="str">
        <f>_xll.RtGet("IDN",A97,"SEC_ACT_1")</f>
        <v>#N/A The record could not be found</v>
      </c>
      <c r="H97" s="12"/>
      <c r="K97" s="12" t="s">
        <v>358</v>
      </c>
      <c r="L97" s="3"/>
      <c r="M97" s="13"/>
      <c r="O97" s="87"/>
      <c r="P97" s="88"/>
      <c r="R97" s="13">
        <v>45489</v>
      </c>
      <c r="S97">
        <v>2.8530000000000002</v>
      </c>
      <c r="T97" s="12">
        <v>2.8570000000000002</v>
      </c>
      <c r="V97" s="3">
        <v>45489</v>
      </c>
      <c r="W97">
        <v>3.6339999999999999</v>
      </c>
      <c r="Y97" s="13"/>
      <c r="AA97" s="12"/>
      <c r="AF97" s="12" t="s">
        <v>359</v>
      </c>
    </row>
    <row r="98" spans="1:32" x14ac:dyDescent="0.35">
      <c r="A98" t="str">
        <f>main!$B$20 &amp; B98 &amp; "Z=R"</f>
        <v>EUR22Y9MZ=R</v>
      </c>
      <c r="B98" t="s">
        <v>360</v>
      </c>
      <c r="C98" s="3" t="str">
        <f>_xll.RtGet("IDN",A98,"GV1_DATE")</f>
        <v>#N/A The record could not be found</v>
      </c>
      <c r="D98" s="3" t="str">
        <f>_xll.RtGet("IDN",A98,"MATUR_DATE")</f>
        <v>#N/A The record could not be found</v>
      </c>
      <c r="E98" s="3">
        <f t="shared" si="1"/>
        <v>54752</v>
      </c>
      <c r="F98" t="str">
        <f>_xll.RtGet("IDN",A98,"SEC_ACT_1")</f>
        <v>#N/A The record could not be found</v>
      </c>
      <c r="H98" s="12"/>
      <c r="K98" s="12" t="s">
        <v>361</v>
      </c>
      <c r="L98" s="3"/>
      <c r="M98" s="13"/>
      <c r="O98" s="87"/>
      <c r="P98" s="88"/>
      <c r="R98" s="13">
        <v>45488</v>
      </c>
      <c r="S98">
        <v>2.8980000000000001</v>
      </c>
      <c r="T98" s="12">
        <v>2.9079999999999999</v>
      </c>
      <c r="V98" s="3">
        <v>45488</v>
      </c>
      <c r="W98">
        <v>3.6349999999999998</v>
      </c>
      <c r="Y98" s="13"/>
      <c r="AA98" s="12"/>
      <c r="AF98" s="12" t="s">
        <v>362</v>
      </c>
    </row>
    <row r="99" spans="1:32" x14ac:dyDescent="0.35">
      <c r="A99" t="str">
        <f>main!$B$20 &amp; B99 &amp; "Z=R"</f>
        <v>EUR23YZ=R</v>
      </c>
      <c r="B99" t="s">
        <v>363</v>
      </c>
      <c r="C99" s="3" t="str">
        <f>_xll.RtGet("IDN",A99,"GV1_DATE")</f>
        <v>#N/A The record could not be found</v>
      </c>
      <c r="D99" s="3" t="str">
        <f>_xll.RtGet("IDN",A99,"MATUR_DATE")</f>
        <v>#N/A The record could not be found</v>
      </c>
      <c r="E99" s="3">
        <f t="shared" si="1"/>
        <v>54752</v>
      </c>
      <c r="F99" t="str">
        <f>_xll.RtGet("IDN",A99,"SEC_ACT_1")</f>
        <v>#N/A The record could not be found</v>
      </c>
      <c r="H99" s="12"/>
      <c r="K99" s="12" t="s">
        <v>364</v>
      </c>
      <c r="L99" s="3"/>
      <c r="M99" s="13"/>
      <c r="O99" s="87"/>
      <c r="P99" s="88"/>
      <c r="R99" s="13">
        <v>45485</v>
      </c>
      <c r="S99">
        <v>2.9350000000000001</v>
      </c>
      <c r="T99" s="12">
        <v>2.9449999999999998</v>
      </c>
      <c r="V99" s="3">
        <v>45485</v>
      </c>
      <c r="W99">
        <v>3.6619999999999999</v>
      </c>
      <c r="Y99" s="13"/>
      <c r="AA99" s="12"/>
      <c r="AF99" s="12" t="s">
        <v>365</v>
      </c>
    </row>
    <row r="100" spans="1:32" x14ac:dyDescent="0.35">
      <c r="A100" t="str">
        <f>main!$B$20 &amp; B100 &amp; "Z=R"</f>
        <v>EUR23Y3MZ=R</v>
      </c>
      <c r="B100" t="s">
        <v>366</v>
      </c>
      <c r="C100" s="3" t="str">
        <f>_xll.RtGet("IDN",A100,"GV1_DATE")</f>
        <v>#N/A The record could not be found</v>
      </c>
      <c r="D100" s="3" t="str">
        <f>_xll.RtGet("IDN",A100,"MATUR_DATE")</f>
        <v>#N/A The record could not be found</v>
      </c>
      <c r="E100" s="3">
        <f t="shared" si="1"/>
        <v>54752</v>
      </c>
      <c r="F100" t="str">
        <f>_xll.RtGet("IDN",A100,"SEC_ACT_1")</f>
        <v>#N/A The record could not be found</v>
      </c>
      <c r="H100" s="12"/>
      <c r="K100" s="12" t="s">
        <v>367</v>
      </c>
      <c r="L100" s="3"/>
      <c r="M100" s="13"/>
      <c r="O100" s="88"/>
      <c r="P100" s="88"/>
      <c r="R100" s="13">
        <v>45484</v>
      </c>
      <c r="S100">
        <v>2.9079999999999999</v>
      </c>
      <c r="T100" s="12">
        <v>2.9180000000000001</v>
      </c>
      <c r="V100" s="3">
        <v>45484</v>
      </c>
      <c r="W100">
        <v>3.6760000000000002</v>
      </c>
      <c r="Y100" s="13"/>
      <c r="AA100" s="12"/>
      <c r="AF100" s="12" t="s">
        <v>368</v>
      </c>
    </row>
    <row r="101" spans="1:32" x14ac:dyDescent="0.35">
      <c r="A101" t="str">
        <f>main!$B$20 &amp; B101 &amp; "Z=R"</f>
        <v>EUR23Y6MZ=R</v>
      </c>
      <c r="B101" t="s">
        <v>369</v>
      </c>
      <c r="C101" s="3" t="str">
        <f>_xll.RtGet("IDN",A101,"GV1_DATE")</f>
        <v>#N/A The record could not be found</v>
      </c>
      <c r="D101" s="3" t="str">
        <f>_xll.RtGet("IDN",A101,"MATUR_DATE")</f>
        <v>#N/A The record could not be found</v>
      </c>
      <c r="E101" s="3">
        <f t="shared" si="1"/>
        <v>54752</v>
      </c>
      <c r="F101" t="str">
        <f>_xll.RtGet("IDN",A101,"SEC_ACT_1")</f>
        <v>#N/A The record could not be found</v>
      </c>
      <c r="H101" s="12"/>
      <c r="K101" s="12" t="s">
        <v>370</v>
      </c>
      <c r="L101" s="3"/>
      <c r="M101" s="13"/>
      <c r="O101" s="88"/>
      <c r="P101" s="88"/>
      <c r="R101" s="13">
        <v>45483</v>
      </c>
      <c r="S101">
        <v>2.996</v>
      </c>
      <c r="T101" s="12">
        <v>3.0059999999999998</v>
      </c>
      <c r="V101" s="3">
        <v>45483</v>
      </c>
      <c r="W101">
        <v>3.6829999999999998</v>
      </c>
      <c r="Y101" s="13"/>
      <c r="AA101" s="12"/>
      <c r="AF101" s="12" t="s">
        <v>371</v>
      </c>
    </row>
    <row r="102" spans="1:32" x14ac:dyDescent="0.35">
      <c r="A102" t="str">
        <f>main!$B$20 &amp; B102 &amp; "Z=R"</f>
        <v>EUR23Y9MZ=R</v>
      </c>
      <c r="B102" t="s">
        <v>372</v>
      </c>
      <c r="C102" s="3" t="str">
        <f>_xll.RtGet("IDN",A102,"GV1_DATE")</f>
        <v>#N/A The record could not be found</v>
      </c>
      <c r="D102" s="3" t="str">
        <f>_xll.RtGet("IDN",A102,"MATUR_DATE")</f>
        <v>#N/A The record could not be found</v>
      </c>
      <c r="E102" s="3">
        <f t="shared" si="1"/>
        <v>54752</v>
      </c>
      <c r="F102" t="str">
        <f>_xll.RtGet("IDN",A102,"SEC_ACT_1")</f>
        <v>#N/A The record could not be found</v>
      </c>
      <c r="H102" s="12"/>
      <c r="K102" s="12" t="s">
        <v>373</v>
      </c>
      <c r="L102" s="3"/>
      <c r="M102" s="13"/>
      <c r="O102" s="88"/>
      <c r="P102" s="88"/>
      <c r="R102" s="13">
        <v>45482</v>
      </c>
      <c r="S102">
        <v>3.0249999999999999</v>
      </c>
      <c r="T102" s="12">
        <v>3.0350000000000001</v>
      </c>
      <c r="V102" s="3">
        <v>45482</v>
      </c>
      <c r="W102">
        <v>3.6680000000000001</v>
      </c>
      <c r="Y102" s="13"/>
      <c r="AA102" s="12"/>
      <c r="AF102" s="12" t="s">
        <v>374</v>
      </c>
    </row>
    <row r="103" spans="1:32" x14ac:dyDescent="0.35">
      <c r="A103" t="str">
        <f>main!$B$20 &amp; B103 &amp; "Z=R"</f>
        <v>EUR24YZ=R</v>
      </c>
      <c r="B103" t="s">
        <v>375</v>
      </c>
      <c r="C103" s="3" t="str">
        <f>_xll.RtGet("IDN",A103,"GV1_DATE")</f>
        <v>#N/A The record could not be found</v>
      </c>
      <c r="D103" s="3" t="str">
        <f>_xll.RtGet("IDN",A103,"MATUR_DATE")</f>
        <v>#N/A The record could not be found</v>
      </c>
      <c r="E103" s="3">
        <f t="shared" si="1"/>
        <v>54752</v>
      </c>
      <c r="F103" t="str">
        <f>_xll.RtGet("IDN",A103,"SEC_ACT_1")</f>
        <v>#N/A The record could not be found</v>
      </c>
      <c r="H103" s="12"/>
      <c r="K103" s="12" t="s">
        <v>376</v>
      </c>
      <c r="L103" s="3"/>
      <c r="M103" s="13"/>
      <c r="O103" s="88"/>
      <c r="P103" s="88"/>
      <c r="R103" s="13">
        <v>45481</v>
      </c>
      <c r="S103">
        <v>3.0059999999999998</v>
      </c>
      <c r="T103" s="12">
        <v>3.016</v>
      </c>
      <c r="V103" s="3">
        <v>45481</v>
      </c>
      <c r="W103">
        <v>3.6749999999999998</v>
      </c>
      <c r="Y103" s="13"/>
      <c r="AA103" s="12"/>
      <c r="AF103" s="12" t="s">
        <v>377</v>
      </c>
    </row>
    <row r="104" spans="1:32" x14ac:dyDescent="0.35">
      <c r="A104" t="str">
        <f>main!$B$20 &amp; B104 &amp; "Z=R"</f>
        <v>EUR24Y3MZ=R</v>
      </c>
      <c r="B104" t="s">
        <v>378</v>
      </c>
      <c r="C104" s="3" t="str">
        <f>_xll.RtGet("IDN",A104,"GV1_DATE")</f>
        <v>#N/A The record could not be found</v>
      </c>
      <c r="D104" s="3" t="str">
        <f>_xll.RtGet("IDN",A104,"MATUR_DATE")</f>
        <v>#N/A The record could not be found</v>
      </c>
      <c r="E104" s="3">
        <f t="shared" si="1"/>
        <v>54752</v>
      </c>
      <c r="F104" t="str">
        <f>_xll.RtGet("IDN",A104,"SEC_ACT_1")</f>
        <v>#N/A The record could not be found</v>
      </c>
      <c r="H104" s="12"/>
      <c r="K104" s="12" t="s">
        <v>379</v>
      </c>
      <c r="L104" s="3"/>
      <c r="M104" s="13"/>
      <c r="R104" s="13">
        <v>45478</v>
      </c>
      <c r="S104">
        <v>3.008</v>
      </c>
      <c r="T104" s="12">
        <v>3.0179999999999998</v>
      </c>
      <c r="V104" s="3">
        <v>45478</v>
      </c>
      <c r="W104">
        <v>3.6779999999999999</v>
      </c>
      <c r="Y104" s="13"/>
      <c r="AA104" s="12"/>
      <c r="AF104" s="12" t="s">
        <v>380</v>
      </c>
    </row>
    <row r="105" spans="1:32" x14ac:dyDescent="0.35">
      <c r="A105" t="str">
        <f>main!$B$20 &amp; B105 &amp; "Z=R"</f>
        <v>EUR24Y6MZ=R</v>
      </c>
      <c r="B105" t="s">
        <v>381</v>
      </c>
      <c r="C105" s="3" t="str">
        <f>_xll.RtGet("IDN",A105,"GV1_DATE")</f>
        <v>#N/A The record could not be found</v>
      </c>
      <c r="D105" s="3" t="str">
        <f>_xll.RtGet("IDN",A105,"MATUR_DATE")</f>
        <v>#N/A The record could not be found</v>
      </c>
      <c r="E105" s="3">
        <f t="shared" si="1"/>
        <v>54752</v>
      </c>
      <c r="F105" t="str">
        <f>_xll.RtGet("IDN",A105,"SEC_ACT_1")</f>
        <v>#N/A The record could not be found</v>
      </c>
      <c r="H105" s="12"/>
      <c r="K105" s="12" t="s">
        <v>382</v>
      </c>
      <c r="L105" s="3"/>
      <c r="M105" s="13"/>
      <c r="O105" s="6" t="s">
        <v>383</v>
      </c>
      <c r="R105" s="12"/>
      <c r="T105" s="12"/>
      <c r="V105" s="3">
        <v>45477</v>
      </c>
      <c r="W105">
        <v>3.6829999999999998</v>
      </c>
      <c r="Y105" s="12"/>
      <c r="AA105" s="12"/>
      <c r="AF105" s="12" t="s">
        <v>384</v>
      </c>
    </row>
    <row r="106" spans="1:32" x14ac:dyDescent="0.35">
      <c r="A106" t="str">
        <f>main!$B$20 &amp; B106 &amp; "Z=R"</f>
        <v>EUR24Y9MZ=R</v>
      </c>
      <c r="B106" t="s">
        <v>385</v>
      </c>
      <c r="C106" s="3" t="str">
        <f>_xll.RtGet("IDN",A106,"GV1_DATE")</f>
        <v>#N/A The record could not be found</v>
      </c>
      <c r="D106" s="3" t="str">
        <f>_xll.RtGet("IDN",A106,"MATUR_DATE")</f>
        <v>#N/A The record could not be found</v>
      </c>
      <c r="E106" s="3">
        <f t="shared" si="1"/>
        <v>54752</v>
      </c>
      <c r="F106" t="str">
        <f>_xll.RtGet("IDN",A106,"SEC_ACT_1")</f>
        <v>#N/A The record could not be found</v>
      </c>
      <c r="H106" s="12"/>
      <c r="K106" s="12" t="s">
        <v>386</v>
      </c>
      <c r="L106" s="3"/>
      <c r="M106" s="13"/>
      <c r="O106" t="str">
        <f>_xll.RDP.Data(P3&amp;"IRS","GV4_TEXT","RH:In CH:Fd",O107)</f>
        <v>Updated at 10:38:29</v>
      </c>
      <c r="R106" s="12"/>
      <c r="T106" s="12"/>
      <c r="V106" s="3">
        <v>45476</v>
      </c>
      <c r="W106">
        <v>3.6779999999999999</v>
      </c>
      <c r="Y106" s="12"/>
      <c r="AA106" s="12"/>
      <c r="AF106" s="12" t="s">
        <v>387</v>
      </c>
    </row>
    <row r="107" spans="1:32" x14ac:dyDescent="0.35">
      <c r="A107" t="str">
        <f>main!$B$20 &amp; B107 &amp; "Z=R"</f>
        <v>EUR25YZ=R</v>
      </c>
      <c r="B107" t="s">
        <v>388</v>
      </c>
      <c r="C107" s="3">
        <f>_xll.RtGet("IDN",A107,"GV1_DATE")</f>
        <v>45617</v>
      </c>
      <c r="D107" s="3">
        <f>_xll.RtGet("IDN",A107,"MATUR_DATE")</f>
        <v>54752</v>
      </c>
      <c r="E107" s="3">
        <f t="shared" si="1"/>
        <v>56578</v>
      </c>
      <c r="F107">
        <f>_xll.RtGet("IDN",A107,"SEC_ACT_1")</f>
        <v>0.58316907500000004</v>
      </c>
      <c r="H107" s="12"/>
      <c r="K107" s="12" t="s">
        <v>389</v>
      </c>
      <c r="L107" s="3"/>
      <c r="M107" s="13"/>
      <c r="O107" s="12"/>
      <c r="P107" s="12" t="s">
        <v>390</v>
      </c>
      <c r="R107" s="12"/>
      <c r="T107" s="12"/>
      <c r="V107" s="3">
        <v>45475</v>
      </c>
      <c r="W107">
        <v>3.6760000000000002</v>
      </c>
      <c r="Y107" s="12"/>
      <c r="AA107" s="12"/>
      <c r="AF107" s="12" t="s">
        <v>391</v>
      </c>
    </row>
    <row r="108" spans="1:32" x14ac:dyDescent="0.35">
      <c r="A108" t="str">
        <f>main!$B$20 &amp; B108 &amp; "Z=R"</f>
        <v>EUR25Y3MZ=R</v>
      </c>
      <c r="B108" t="s">
        <v>392</v>
      </c>
      <c r="C108" s="3" t="str">
        <f>_xll.RtGet("IDN",A108,"GV1_DATE")</f>
        <v>#N/A The record could not be found</v>
      </c>
      <c r="D108" s="3" t="str">
        <f>_xll.RtGet("IDN",A108,"MATUR_DATE")</f>
        <v>#N/A The record could not be found</v>
      </c>
      <c r="E108" s="3">
        <f t="shared" si="1"/>
        <v>56578</v>
      </c>
      <c r="F108" t="str">
        <f>_xll.RtGet("IDN",A108,"SEC_ACT_1")</f>
        <v>#N/A The record could not be found</v>
      </c>
      <c r="H108" s="12"/>
      <c r="K108" s="12" t="s">
        <v>393</v>
      </c>
      <c r="L108" s="3"/>
      <c r="M108" s="13"/>
      <c r="O108" s="12" t="s">
        <v>46</v>
      </c>
      <c r="P108" s="12" t="s">
        <v>47</v>
      </c>
      <c r="Q108" s="11"/>
      <c r="R108" s="12"/>
      <c r="T108" s="12"/>
      <c r="V108" s="3">
        <v>45474</v>
      </c>
      <c r="W108">
        <v>3.6779999999999999</v>
      </c>
      <c r="Y108" s="12"/>
      <c r="AA108" s="12"/>
      <c r="AF108" s="12" t="s">
        <v>394</v>
      </c>
    </row>
    <row r="109" spans="1:32" x14ac:dyDescent="0.35">
      <c r="A109" t="str">
        <f>main!$B$20 &amp; B109 &amp; "Z=R"</f>
        <v>EUR25Y6MZ=R</v>
      </c>
      <c r="B109" t="s">
        <v>395</v>
      </c>
      <c r="C109" s="3" t="str">
        <f>_xll.RtGet("IDN",A109,"GV1_DATE")</f>
        <v>#N/A The record could not be found</v>
      </c>
      <c r="D109" s="3" t="str">
        <f>_xll.RtGet("IDN",A109,"MATUR_DATE")</f>
        <v>#N/A The record could not be found</v>
      </c>
      <c r="E109" s="3">
        <f t="shared" si="1"/>
        <v>56578</v>
      </c>
      <c r="F109" t="str">
        <f>_xll.RtGet("IDN",A109,"SEC_ACT_1")</f>
        <v>#N/A The record could not be found</v>
      </c>
      <c r="H109" s="12"/>
      <c r="K109" s="12" t="s">
        <v>396</v>
      </c>
      <c r="L109" s="3"/>
      <c r="M109" s="13"/>
      <c r="O109" s="12" t="s">
        <v>51</v>
      </c>
      <c r="P109" s="12" t="s">
        <v>47</v>
      </c>
      <c r="Q109" s="11"/>
      <c r="R109" s="12"/>
      <c r="T109" s="12"/>
      <c r="V109" s="3">
        <v>45471</v>
      </c>
      <c r="W109">
        <v>3.6819999999999999</v>
      </c>
      <c r="Y109" s="12"/>
      <c r="AA109" s="12"/>
      <c r="AF109" s="12" t="s">
        <v>397</v>
      </c>
    </row>
    <row r="110" spans="1:32" x14ac:dyDescent="0.35">
      <c r="A110" t="str">
        <f>main!$B$20 &amp; B110 &amp; "Z=R"</f>
        <v>EUR25Y9MZ=R</v>
      </c>
      <c r="B110" t="s">
        <v>398</v>
      </c>
      <c r="C110" s="3" t="str">
        <f>_xll.RtGet("IDN",A110,"GV1_DATE")</f>
        <v>#N/A The record could not be found</v>
      </c>
      <c r="D110" s="3" t="str">
        <f>_xll.RtGet("IDN",A110,"MATUR_DATE")</f>
        <v>#N/A The record could not be found</v>
      </c>
      <c r="E110" s="3">
        <f t="shared" si="1"/>
        <v>56578</v>
      </c>
      <c r="F110" t="str">
        <f>_xll.RtGet("IDN",A110,"SEC_ACT_1")</f>
        <v>#N/A The record could not be found</v>
      </c>
      <c r="H110" s="12"/>
      <c r="K110" s="12" t="s">
        <v>399</v>
      </c>
      <c r="L110" s="3"/>
      <c r="M110" s="13"/>
      <c r="O110" s="12" t="s">
        <v>57</v>
      </c>
      <c r="P110" s="12" t="s">
        <v>400</v>
      </c>
      <c r="Q110" s="11"/>
      <c r="R110" s="12"/>
      <c r="T110" s="12"/>
      <c r="V110" s="3">
        <v>45470</v>
      </c>
      <c r="W110">
        <v>3.6779999999999999</v>
      </c>
      <c r="Y110" s="12"/>
      <c r="AA110" s="12"/>
      <c r="AF110" s="12" t="s">
        <v>401</v>
      </c>
    </row>
    <row r="111" spans="1:32" x14ac:dyDescent="0.35">
      <c r="A111" t="str">
        <f>main!$B$20 &amp; B111 &amp; "Z=R"</f>
        <v>EUR26YZ=R</v>
      </c>
      <c r="B111" t="s">
        <v>402</v>
      </c>
      <c r="C111" s="3" t="str">
        <f>_xll.RtGet("IDN",A111,"GV1_DATE")</f>
        <v>#N/A The record could not be found</v>
      </c>
      <c r="D111" s="3" t="str">
        <f>_xll.RtGet("IDN",A111,"MATUR_DATE")</f>
        <v>#N/A The record could not be found</v>
      </c>
      <c r="E111" s="3">
        <f t="shared" si="1"/>
        <v>56578</v>
      </c>
      <c r="F111" t="str">
        <f>_xll.RtGet("IDN",A111,"SEC_ACT_1")</f>
        <v>#N/A The record could not be found</v>
      </c>
      <c r="H111" s="12"/>
      <c r="K111" s="12" t="s">
        <v>403</v>
      </c>
      <c r="L111" s="3"/>
      <c r="M111" s="13"/>
      <c r="O111" s="12" t="s">
        <v>63</v>
      </c>
      <c r="P111" s="12" t="s">
        <v>404</v>
      </c>
      <c r="Q111" s="11"/>
      <c r="R111" s="12"/>
      <c r="T111" s="12"/>
      <c r="V111" s="3">
        <v>45469</v>
      </c>
      <c r="W111">
        <v>3.6720000000000002</v>
      </c>
      <c r="Y111" s="12"/>
      <c r="AA111" s="12"/>
      <c r="AF111" s="12" t="s">
        <v>405</v>
      </c>
    </row>
    <row r="112" spans="1:32" x14ac:dyDescent="0.35">
      <c r="A112" t="str">
        <f>main!$B$20 &amp; B112 &amp; "Z=R"</f>
        <v>EUR26Y3MZ=R</v>
      </c>
      <c r="B112" t="s">
        <v>406</v>
      </c>
      <c r="C112" s="3" t="str">
        <f>_xll.RtGet("IDN",A112,"GV1_DATE")</f>
        <v>#N/A The record could not be found</v>
      </c>
      <c r="D112" s="3" t="str">
        <f>_xll.RtGet("IDN",A112,"MATUR_DATE")</f>
        <v>#N/A The record could not be found</v>
      </c>
      <c r="E112" s="3">
        <f t="shared" si="1"/>
        <v>56578</v>
      </c>
      <c r="F112" t="str">
        <f>_xll.RtGet("IDN",A112,"SEC_ACT_1")</f>
        <v>#N/A The record could not be found</v>
      </c>
      <c r="H112" s="12"/>
      <c r="K112" s="12" t="s">
        <v>407</v>
      </c>
      <c r="L112" s="3"/>
      <c r="M112" s="13"/>
      <c r="O112" s="12" t="s">
        <v>69</v>
      </c>
      <c r="P112" s="12" t="s">
        <v>408</v>
      </c>
      <c r="Q112" s="11"/>
      <c r="R112" s="12"/>
      <c r="T112" s="12"/>
      <c r="V112" s="3">
        <v>45468</v>
      </c>
      <c r="W112">
        <v>3.6709999999999998</v>
      </c>
      <c r="Y112" s="12"/>
      <c r="AA112" s="12"/>
      <c r="AF112" s="12" t="s">
        <v>409</v>
      </c>
    </row>
    <row r="113" spans="1:32" x14ac:dyDescent="0.35">
      <c r="A113" t="str">
        <f>main!$B$20 &amp; B113 &amp; "Z=R"</f>
        <v>EUR26Y6MZ=R</v>
      </c>
      <c r="B113" t="s">
        <v>410</v>
      </c>
      <c r="C113" s="3" t="str">
        <f>_xll.RtGet("IDN",A113,"GV1_DATE")</f>
        <v>#N/A The record could not be found</v>
      </c>
      <c r="D113" s="3" t="str">
        <f>_xll.RtGet("IDN",A113,"MATUR_DATE")</f>
        <v>#N/A The record could not be found</v>
      </c>
      <c r="E113" s="3">
        <f t="shared" si="1"/>
        <v>56578</v>
      </c>
      <c r="F113" t="str">
        <f>_xll.RtGet("IDN",A113,"SEC_ACT_1")</f>
        <v>#N/A The record could not be found</v>
      </c>
      <c r="H113" s="12"/>
      <c r="K113" s="12" t="s">
        <v>411</v>
      </c>
      <c r="L113" s="3"/>
      <c r="M113" s="13"/>
      <c r="O113" s="12" t="s">
        <v>74</v>
      </c>
      <c r="P113" s="12" t="s">
        <v>412</v>
      </c>
      <c r="Q113" s="11"/>
      <c r="R113" s="12"/>
      <c r="T113" s="12"/>
      <c r="V113" s="3">
        <v>45467</v>
      </c>
      <c r="W113">
        <v>3.661</v>
      </c>
      <c r="Y113" s="12"/>
      <c r="AA113" s="12"/>
      <c r="AF113" s="12" t="s">
        <v>413</v>
      </c>
    </row>
    <row r="114" spans="1:32" x14ac:dyDescent="0.35">
      <c r="A114" t="str">
        <f>main!$B$20 &amp; B114 &amp; "Z=R"</f>
        <v>EUR26Y9MZ=R</v>
      </c>
      <c r="B114" t="s">
        <v>414</v>
      </c>
      <c r="C114" s="3" t="str">
        <f>_xll.RtGet("IDN",A114,"GV1_DATE")</f>
        <v>#N/A The record could not be found</v>
      </c>
      <c r="D114" s="3" t="str">
        <f>_xll.RtGet("IDN",A114,"MATUR_DATE")</f>
        <v>#N/A The record could not be found</v>
      </c>
      <c r="E114" s="3">
        <f t="shared" si="1"/>
        <v>56578</v>
      </c>
      <c r="F114" t="str">
        <f>_xll.RtGet("IDN",A114,"SEC_ACT_1")</f>
        <v>#N/A The record could not be found</v>
      </c>
      <c r="H114" s="12"/>
      <c r="K114" s="12" t="s">
        <v>415</v>
      </c>
      <c r="L114" s="3"/>
      <c r="M114" s="13"/>
      <c r="O114" s="12" t="s">
        <v>78</v>
      </c>
      <c r="P114" s="12" t="s">
        <v>416</v>
      </c>
      <c r="Q114" s="11"/>
      <c r="R114" s="12"/>
      <c r="T114" s="12"/>
      <c r="V114" s="3">
        <v>45464</v>
      </c>
      <c r="W114">
        <v>3.6909999999999998</v>
      </c>
      <c r="Y114" s="12"/>
      <c r="AA114" s="12"/>
      <c r="AF114" s="12" t="s">
        <v>417</v>
      </c>
    </row>
    <row r="115" spans="1:32" x14ac:dyDescent="0.35">
      <c r="A115" t="str">
        <f>main!$B$20 &amp; B115 &amp; "Z=R"</f>
        <v>EUR27YZ=R</v>
      </c>
      <c r="B115" t="s">
        <v>418</v>
      </c>
      <c r="C115" s="3" t="str">
        <f>_xll.RtGet("IDN",A115,"GV1_DATE")</f>
        <v>#N/A The record could not be found</v>
      </c>
      <c r="D115" s="3" t="str">
        <f>_xll.RtGet("IDN",A115,"MATUR_DATE")</f>
        <v>#N/A The record could not be found</v>
      </c>
      <c r="E115" s="3">
        <f t="shared" si="1"/>
        <v>56578</v>
      </c>
      <c r="F115" t="str">
        <f>_xll.RtGet("IDN",A115,"SEC_ACT_1")</f>
        <v>#N/A The record could not be found</v>
      </c>
      <c r="H115" s="12"/>
      <c r="K115" s="12" t="s">
        <v>419</v>
      </c>
      <c r="L115" s="3"/>
      <c r="M115" s="13"/>
      <c r="O115" s="12" t="s">
        <v>81</v>
      </c>
      <c r="P115" s="12" t="s">
        <v>420</v>
      </c>
      <c r="Q115" s="11"/>
      <c r="R115" s="12"/>
      <c r="T115" s="12"/>
      <c r="V115" s="3">
        <v>45463</v>
      </c>
      <c r="W115">
        <v>3.6890000000000001</v>
      </c>
      <c r="Y115" s="12"/>
      <c r="AA115" s="12"/>
      <c r="AF115" s="12" t="s">
        <v>421</v>
      </c>
    </row>
    <row r="116" spans="1:32" x14ac:dyDescent="0.35">
      <c r="A116" t="str">
        <f>main!$B$20 &amp; B116 &amp; "Z=R"</f>
        <v>EUR27Y3MZ=R</v>
      </c>
      <c r="B116" t="s">
        <v>422</v>
      </c>
      <c r="C116" s="3" t="str">
        <f>_xll.RtGet("IDN",A116,"GV1_DATE")</f>
        <v>#N/A The record could not be found</v>
      </c>
      <c r="D116" s="3" t="str">
        <f>_xll.RtGet("IDN",A116,"MATUR_DATE")</f>
        <v>#N/A The record could not be found</v>
      </c>
      <c r="E116" s="3">
        <f t="shared" si="1"/>
        <v>56578</v>
      </c>
      <c r="F116" t="str">
        <f>_xll.RtGet("IDN",A116,"SEC_ACT_1")</f>
        <v>#N/A The record could not be found</v>
      </c>
      <c r="H116" s="12"/>
      <c r="K116" s="12" t="s">
        <v>423</v>
      </c>
      <c r="L116" s="3"/>
      <c r="M116" s="13"/>
      <c r="O116" s="12" t="s">
        <v>83</v>
      </c>
      <c r="P116" s="12" t="s">
        <v>424</v>
      </c>
      <c r="Q116" s="11"/>
      <c r="R116" s="12"/>
      <c r="T116" s="12"/>
      <c r="V116" s="3">
        <v>45462</v>
      </c>
      <c r="W116">
        <v>3.6949999999999998</v>
      </c>
      <c r="Y116" s="12"/>
      <c r="AA116" s="12"/>
      <c r="AF116" s="12" t="s">
        <v>425</v>
      </c>
    </row>
    <row r="117" spans="1:32" x14ac:dyDescent="0.35">
      <c r="A117" t="str">
        <f>main!$B$20 &amp; B117 &amp; "Z=R"</f>
        <v>EUR27Y6MZ=R</v>
      </c>
      <c r="B117" t="s">
        <v>426</v>
      </c>
      <c r="C117" s="3" t="str">
        <f>_xll.RtGet("IDN",A117,"GV1_DATE")</f>
        <v>#N/A The record could not be found</v>
      </c>
      <c r="D117" s="3" t="str">
        <f>_xll.RtGet("IDN",A117,"MATUR_DATE")</f>
        <v>#N/A The record could not be found</v>
      </c>
      <c r="E117" s="3">
        <f t="shared" si="1"/>
        <v>56578</v>
      </c>
      <c r="F117" t="str">
        <f>_xll.RtGet("IDN",A117,"SEC_ACT_1")</f>
        <v>#N/A The record could not be found</v>
      </c>
      <c r="H117" s="12"/>
      <c r="K117" s="12" t="s">
        <v>427</v>
      </c>
      <c r="L117" s="3"/>
      <c r="M117" s="13"/>
      <c r="O117" s="12" t="s">
        <v>88</v>
      </c>
      <c r="P117" s="12" t="s">
        <v>428</v>
      </c>
      <c r="Q117" s="11"/>
      <c r="R117" s="12"/>
      <c r="T117" s="12"/>
      <c r="V117" s="3">
        <v>45461</v>
      </c>
      <c r="W117">
        <v>3.6949999999999998</v>
      </c>
      <c r="Y117" s="12"/>
      <c r="AA117" s="12"/>
      <c r="AF117" s="12" t="s">
        <v>429</v>
      </c>
    </row>
    <row r="118" spans="1:32" x14ac:dyDescent="0.35">
      <c r="A118" t="str">
        <f>main!$B$20 &amp; B118 &amp; "Z=R"</f>
        <v>EUR27Y9MZ=R</v>
      </c>
      <c r="B118" t="s">
        <v>430</v>
      </c>
      <c r="C118" s="3" t="str">
        <f>_xll.RtGet("IDN",A118,"GV1_DATE")</f>
        <v>#N/A The record could not be found</v>
      </c>
      <c r="D118" s="3" t="str">
        <f>_xll.RtGet("IDN",A118,"MATUR_DATE")</f>
        <v>#N/A The record could not be found</v>
      </c>
      <c r="E118" s="3">
        <f t="shared" si="1"/>
        <v>56578</v>
      </c>
      <c r="F118" t="str">
        <f>_xll.RtGet("IDN",A118,"SEC_ACT_1")</f>
        <v>#N/A The record could not be found</v>
      </c>
      <c r="H118" s="12"/>
      <c r="K118" s="12" t="s">
        <v>431</v>
      </c>
      <c r="L118" s="3"/>
      <c r="M118" s="13"/>
      <c r="O118" s="12" t="s">
        <v>92</v>
      </c>
      <c r="P118" s="12" t="s">
        <v>432</v>
      </c>
      <c r="Q118" s="11"/>
      <c r="R118" s="12"/>
      <c r="T118" s="12"/>
      <c r="V118" s="3">
        <v>45460</v>
      </c>
      <c r="W118">
        <v>3.7109999999999999</v>
      </c>
      <c r="Y118" s="12"/>
      <c r="AA118" s="12"/>
      <c r="AF118" s="12" t="s">
        <v>433</v>
      </c>
    </row>
    <row r="119" spans="1:32" x14ac:dyDescent="0.35">
      <c r="A119" t="str">
        <f>main!$B$20 &amp; B119 &amp; "Z=R"</f>
        <v>EUR28YZ=R</v>
      </c>
      <c r="B119" t="s">
        <v>434</v>
      </c>
      <c r="C119" s="3" t="str">
        <f>_xll.RtGet("IDN",A119,"GV1_DATE")</f>
        <v>#N/A The record could not be found</v>
      </c>
      <c r="D119" s="3" t="str">
        <f>_xll.RtGet("IDN",A119,"MATUR_DATE")</f>
        <v>#N/A The record could not be found</v>
      </c>
      <c r="E119" s="3">
        <f t="shared" si="1"/>
        <v>56578</v>
      </c>
      <c r="F119" t="str">
        <f>_xll.RtGet("IDN",A119,"SEC_ACT_1")</f>
        <v>#N/A The record could not be found</v>
      </c>
      <c r="H119" s="12"/>
      <c r="K119" s="12" t="s">
        <v>435</v>
      </c>
      <c r="L119" s="3"/>
      <c r="M119" s="13"/>
      <c r="O119" s="12" t="s">
        <v>97</v>
      </c>
      <c r="P119" s="12" t="s">
        <v>436</v>
      </c>
      <c r="Q119" s="11"/>
      <c r="R119" s="12"/>
      <c r="T119" s="12"/>
      <c r="V119" s="3">
        <v>45457</v>
      </c>
      <c r="W119">
        <v>3.7349999999999999</v>
      </c>
      <c r="Y119" s="12"/>
      <c r="AA119" s="12"/>
      <c r="AF119" s="12" t="s">
        <v>437</v>
      </c>
    </row>
    <row r="120" spans="1:32" x14ac:dyDescent="0.35">
      <c r="A120" t="str">
        <f>main!$B$20 &amp; B120 &amp; "Z=R"</f>
        <v>EUR28Y3MZ=R</v>
      </c>
      <c r="B120" t="s">
        <v>438</v>
      </c>
      <c r="C120" s="3" t="str">
        <f>_xll.RtGet("IDN",A120,"GV1_DATE")</f>
        <v>#N/A The record could not be found</v>
      </c>
      <c r="D120" s="3" t="str">
        <f>_xll.RtGet("IDN",A120,"MATUR_DATE")</f>
        <v>#N/A The record could not be found</v>
      </c>
      <c r="E120" s="3">
        <f t="shared" si="1"/>
        <v>56578</v>
      </c>
      <c r="F120" t="str">
        <f>_xll.RtGet("IDN",A120,"SEC_ACT_1")</f>
        <v>#N/A The record could not be found</v>
      </c>
      <c r="H120" s="12"/>
      <c r="K120" s="12" t="s">
        <v>439</v>
      </c>
      <c r="L120" s="3"/>
      <c r="M120" s="13"/>
      <c r="O120" s="12" t="s">
        <v>102</v>
      </c>
      <c r="P120" s="12" t="s">
        <v>440</v>
      </c>
      <c r="Q120" s="11"/>
      <c r="R120" s="12"/>
      <c r="T120" s="12"/>
      <c r="V120" s="3">
        <v>45456</v>
      </c>
      <c r="W120">
        <v>3.7429999999999999</v>
      </c>
      <c r="Y120" s="12"/>
      <c r="AA120" s="12"/>
      <c r="AF120" s="12" t="s">
        <v>441</v>
      </c>
    </row>
    <row r="121" spans="1:32" x14ac:dyDescent="0.35">
      <c r="A121" t="str">
        <f>main!$B$20 &amp; B121 &amp; "Z=R"</f>
        <v>EUR28Y6MZ=R</v>
      </c>
      <c r="B121" t="s">
        <v>442</v>
      </c>
      <c r="C121" s="3" t="str">
        <f>_xll.RtGet("IDN",A121,"GV1_DATE")</f>
        <v>#N/A The record could not be found</v>
      </c>
      <c r="D121" s="3" t="str">
        <f>_xll.RtGet("IDN",A121,"MATUR_DATE")</f>
        <v>#N/A The record could not be found</v>
      </c>
      <c r="E121" s="3">
        <f t="shared" si="1"/>
        <v>56578</v>
      </c>
      <c r="F121" t="str">
        <f>_xll.RtGet("IDN",A121,"SEC_ACT_1")</f>
        <v>#N/A The record could not be found</v>
      </c>
      <c r="H121" s="12"/>
      <c r="K121" s="12" t="s">
        <v>443</v>
      </c>
      <c r="L121" s="3"/>
      <c r="M121" s="13"/>
      <c r="O121" s="12" t="s">
        <v>105</v>
      </c>
      <c r="P121" s="12" t="s">
        <v>444</v>
      </c>
      <c r="Q121" s="11"/>
      <c r="R121" s="12"/>
      <c r="T121" s="12"/>
      <c r="V121" s="3">
        <v>45455</v>
      </c>
      <c r="W121">
        <v>3.7480000000000002</v>
      </c>
      <c r="Y121" s="12"/>
      <c r="AA121" s="12"/>
      <c r="AF121" s="12" t="s">
        <v>445</v>
      </c>
    </row>
    <row r="122" spans="1:32" x14ac:dyDescent="0.35">
      <c r="A122" t="str">
        <f>main!$B$20 &amp; B122 &amp; "Z=R"</f>
        <v>EUR28Y9MZ=R</v>
      </c>
      <c r="B122" t="s">
        <v>446</v>
      </c>
      <c r="C122" s="3" t="str">
        <f>_xll.RtGet("IDN",A122,"GV1_DATE")</f>
        <v>#N/A The record could not be found</v>
      </c>
      <c r="D122" s="3" t="str">
        <f>_xll.RtGet("IDN",A122,"MATUR_DATE")</f>
        <v>#N/A The record could not be found</v>
      </c>
      <c r="E122" s="3">
        <f t="shared" si="1"/>
        <v>56578</v>
      </c>
      <c r="F122" t="str">
        <f>_xll.RtGet("IDN",A122,"SEC_ACT_1")</f>
        <v>#N/A The record could not be found</v>
      </c>
      <c r="H122" s="12"/>
      <c r="K122" s="12" t="s">
        <v>447</v>
      </c>
      <c r="L122" s="3"/>
      <c r="M122" s="13"/>
      <c r="O122" s="12" t="s">
        <v>109</v>
      </c>
      <c r="P122" s="12" t="s">
        <v>448</v>
      </c>
      <c r="Q122" s="11"/>
      <c r="R122" s="12"/>
      <c r="T122" s="12"/>
      <c r="V122" s="3">
        <v>45454</v>
      </c>
      <c r="W122">
        <v>3.7509999999999999</v>
      </c>
      <c r="Y122" s="12"/>
      <c r="AA122" s="12"/>
      <c r="AF122" s="12" t="s">
        <v>449</v>
      </c>
    </row>
    <row r="123" spans="1:32" x14ac:dyDescent="0.35">
      <c r="A123" t="str">
        <f>main!$B$20 &amp; B123 &amp; "Z=R"</f>
        <v>EUR29YZ=R</v>
      </c>
      <c r="B123" t="s">
        <v>450</v>
      </c>
      <c r="C123" s="3" t="str">
        <f>_xll.RtGet("IDN",A123,"GV1_DATE")</f>
        <v>#N/A The record could not be found</v>
      </c>
      <c r="D123" s="3" t="str">
        <f>_xll.RtGet("IDN",A123,"MATUR_DATE")</f>
        <v>#N/A The record could not be found</v>
      </c>
      <c r="E123" s="3">
        <f t="shared" si="1"/>
        <v>56578</v>
      </c>
      <c r="F123" t="str">
        <f>_xll.RtGet("IDN",A123,"SEC_ACT_1")</f>
        <v>#N/A The record could not be found</v>
      </c>
      <c r="H123" s="12"/>
      <c r="K123" s="12" t="s">
        <v>451</v>
      </c>
      <c r="L123" s="3"/>
      <c r="M123" s="13"/>
      <c r="O123" s="12" t="s">
        <v>114</v>
      </c>
      <c r="P123" s="12" t="s">
        <v>452</v>
      </c>
      <c r="Q123" s="11"/>
      <c r="R123" s="12"/>
      <c r="T123" s="12"/>
      <c r="V123" s="3">
        <v>45453</v>
      </c>
      <c r="W123">
        <v>3.7480000000000002</v>
      </c>
      <c r="Y123" s="12"/>
      <c r="AA123" s="12"/>
      <c r="AF123" s="12" t="s">
        <v>453</v>
      </c>
    </row>
    <row r="124" spans="1:32" x14ac:dyDescent="0.35">
      <c r="A124" t="str">
        <f>main!$B$20 &amp; B124 &amp; "Z=R"</f>
        <v>EUR29Y3MZ=R</v>
      </c>
      <c r="B124" t="s">
        <v>454</v>
      </c>
      <c r="C124" s="3" t="str">
        <f>_xll.RtGet("IDN",A124,"GV1_DATE")</f>
        <v>#N/A The record could not be found</v>
      </c>
      <c r="D124" s="3" t="str">
        <f>_xll.RtGet("IDN",A124,"MATUR_DATE")</f>
        <v>#N/A The record could not be found</v>
      </c>
      <c r="E124" s="3">
        <f t="shared" si="1"/>
        <v>56578</v>
      </c>
      <c r="F124" t="str">
        <f>_xll.RtGet("IDN",A124,"SEC_ACT_1")</f>
        <v>#N/A The record could not be found</v>
      </c>
      <c r="H124" s="12"/>
      <c r="K124" s="12" t="s">
        <v>455</v>
      </c>
      <c r="L124" s="3"/>
      <c r="M124" s="13"/>
      <c r="O124" s="12" t="s">
        <v>119</v>
      </c>
      <c r="P124" s="12" t="s">
        <v>456</v>
      </c>
      <c r="Q124" s="11"/>
      <c r="R124" s="12"/>
      <c r="T124" s="12"/>
      <c r="V124" s="3">
        <v>45450</v>
      </c>
      <c r="W124">
        <v>3.7349999999999999</v>
      </c>
      <c r="Y124" s="12"/>
      <c r="AA124" s="12"/>
      <c r="AF124" s="12" t="s">
        <v>457</v>
      </c>
    </row>
    <row r="125" spans="1:32" x14ac:dyDescent="0.35">
      <c r="A125" t="str">
        <f>main!$B$20 &amp; B125 &amp; "Z=R"</f>
        <v>EUR29Y6MZ=R</v>
      </c>
      <c r="B125" t="s">
        <v>458</v>
      </c>
      <c r="C125" s="3" t="str">
        <f>_xll.RtGet("IDN",A125,"GV1_DATE")</f>
        <v>#N/A The record could not be found</v>
      </c>
      <c r="D125" s="3" t="str">
        <f>_xll.RtGet("IDN",A125,"MATUR_DATE")</f>
        <v>#N/A The record could not be found</v>
      </c>
      <c r="E125" s="3">
        <f t="shared" si="1"/>
        <v>56578</v>
      </c>
      <c r="F125" t="str">
        <f>_xll.RtGet("IDN",A125,"SEC_ACT_1")</f>
        <v>#N/A The record could not be found</v>
      </c>
      <c r="H125" s="12"/>
      <c r="K125" s="12" t="s">
        <v>459</v>
      </c>
      <c r="L125" s="3"/>
      <c r="M125" s="13"/>
      <c r="O125" s="12" t="s">
        <v>123</v>
      </c>
      <c r="P125" s="12" t="s">
        <v>460</v>
      </c>
      <c r="Q125" s="11"/>
      <c r="R125" s="12"/>
      <c r="T125" s="12"/>
      <c r="V125" s="3">
        <v>45449</v>
      </c>
      <c r="W125">
        <v>3.7440000000000002</v>
      </c>
      <c r="Y125" s="12"/>
      <c r="AA125" s="12"/>
      <c r="AF125" s="12" t="s">
        <v>461</v>
      </c>
    </row>
    <row r="126" spans="1:32" x14ac:dyDescent="0.35">
      <c r="A126" t="str">
        <f>main!$B$20 &amp; B126 &amp; "Z=R"</f>
        <v>EUR29Y9MZ=R</v>
      </c>
      <c r="B126" t="s">
        <v>462</v>
      </c>
      <c r="C126" s="3" t="str">
        <f>_xll.RtGet("IDN",A126,"GV1_DATE")</f>
        <v>#N/A The record could not be found</v>
      </c>
      <c r="D126" s="3" t="str">
        <f>_xll.RtGet("IDN",A126,"MATUR_DATE")</f>
        <v>#N/A The record could not be found</v>
      </c>
      <c r="E126" s="3">
        <f t="shared" si="1"/>
        <v>56578</v>
      </c>
      <c r="F126" t="str">
        <f>_xll.RtGet("IDN",A126,"SEC_ACT_1")</f>
        <v>#N/A The record could not be found</v>
      </c>
      <c r="H126" s="12"/>
      <c r="K126" s="12" t="s">
        <v>463</v>
      </c>
      <c r="L126" s="3"/>
      <c r="M126" s="13"/>
      <c r="O126" s="12" t="s">
        <v>127</v>
      </c>
      <c r="P126" s="12" t="s">
        <v>464</v>
      </c>
      <c r="R126" s="12"/>
      <c r="T126" s="12"/>
      <c r="V126" s="3">
        <v>45448</v>
      </c>
      <c r="W126">
        <v>3.738</v>
      </c>
      <c r="Y126" s="12"/>
      <c r="AA126" s="12"/>
      <c r="AF126" s="12" t="s">
        <v>465</v>
      </c>
    </row>
    <row r="127" spans="1:32" x14ac:dyDescent="0.35">
      <c r="A127" t="str">
        <f>main!$B$20 &amp; B127 &amp; "Z=R"</f>
        <v>EUR30YZ=R</v>
      </c>
      <c r="B127" t="s">
        <v>466</v>
      </c>
      <c r="C127" s="3">
        <f>_xll.RtGet("IDN",A127,"GV1_DATE")</f>
        <v>45617</v>
      </c>
      <c r="D127" s="3">
        <f>_xll.RtGet("IDN",A127,"MATUR_DATE")</f>
        <v>56578</v>
      </c>
      <c r="E127" s="3" t="str">
        <f t="shared" si="1"/>
        <v>#N/A The record could not be found</v>
      </c>
      <c r="F127">
        <f>_xll.RtGet("IDN",A127,"SEC_ACT_1")</f>
        <v>0.54416788999999999</v>
      </c>
      <c r="H127" s="12"/>
      <c r="K127" s="12" t="s">
        <v>467</v>
      </c>
      <c r="L127" s="3"/>
      <c r="M127" s="13"/>
      <c r="O127" s="12" t="s">
        <v>131</v>
      </c>
      <c r="P127" s="12" t="s">
        <v>468</v>
      </c>
      <c r="R127" s="12"/>
      <c r="T127" s="12"/>
      <c r="V127" s="3">
        <v>45447</v>
      </c>
      <c r="W127">
        <v>3.7559999999999998</v>
      </c>
      <c r="Y127" s="12"/>
      <c r="AA127" s="12"/>
      <c r="AF127" s="12" t="s">
        <v>469</v>
      </c>
    </row>
    <row r="128" spans="1:32" x14ac:dyDescent="0.35">
      <c r="A128" t="str">
        <f>main!$B$20 &amp; B128 &amp; "Z=R"</f>
        <v>EUR30Y3MZ=R</v>
      </c>
      <c r="B128" t="s">
        <v>470</v>
      </c>
      <c r="C128" s="3" t="str">
        <f>_xll.RtGet("IDN",A128,"GV1_DATE")</f>
        <v>#N/A The record could not be found</v>
      </c>
      <c r="D128" s="3" t="str">
        <f>_xll.RtGet("IDN",A128,"MATUR_DATE")</f>
        <v>#N/A The record could not be found</v>
      </c>
      <c r="E128" s="3" t="str">
        <f>IF(ISNUMBER(D129),D129,E129)</f>
        <v>#N/A The record could not be found</v>
      </c>
      <c r="F128" t="str">
        <f>_xll.RtGet("IDN",A128,"SEC_ACT_1")</f>
        <v>#N/A The record could not be found</v>
      </c>
      <c r="H128" s="12"/>
      <c r="K128" s="12"/>
      <c r="L128" s="3"/>
      <c r="M128" s="13"/>
      <c r="O128" s="12" t="s">
        <v>135</v>
      </c>
      <c r="P128" s="12" t="s">
        <v>471</v>
      </c>
      <c r="R128" s="12"/>
      <c r="T128" s="12"/>
      <c r="V128" s="3">
        <v>45446</v>
      </c>
      <c r="W128">
        <v>3.7549999999999999</v>
      </c>
      <c r="Y128" s="12"/>
      <c r="AA128" s="12"/>
      <c r="AF128" s="12" t="s">
        <v>472</v>
      </c>
    </row>
    <row r="129" spans="1:32" x14ac:dyDescent="0.35">
      <c r="A129" t="str">
        <f>main!$B$20 &amp; B129 &amp; "Z=R"</f>
        <v>EUR30Y6MZ=R</v>
      </c>
      <c r="B129" t="s">
        <v>473</v>
      </c>
      <c r="C129" s="3" t="str">
        <f>_xll.RtGet("IDN",A129,"GV1_DATE")</f>
        <v>#N/A The record could not be found</v>
      </c>
      <c r="D129" s="3" t="str">
        <f>_xll.RtGet("IDN",A129,"MATUR_DATE")</f>
        <v>#N/A The record could not be found</v>
      </c>
      <c r="E129" s="3" t="str">
        <f>D129</f>
        <v>#N/A The record could not be found</v>
      </c>
      <c r="F129" t="str">
        <f>_xll.RtGet("IDN",A129,"SEC_ACT_1")</f>
        <v>#N/A The record could not be found</v>
      </c>
      <c r="H129" s="12"/>
      <c r="K129" s="12"/>
      <c r="L129" s="3"/>
      <c r="M129" s="13"/>
      <c r="O129" s="12" t="s">
        <v>139</v>
      </c>
      <c r="P129" s="12" t="s">
        <v>474</v>
      </c>
      <c r="R129" s="12"/>
      <c r="T129" s="12"/>
      <c r="V129" s="3">
        <v>45443</v>
      </c>
      <c r="W129">
        <v>3.7450000000000001</v>
      </c>
      <c r="Y129" s="12"/>
      <c r="AA129" s="12"/>
      <c r="AF129" s="12" t="s">
        <v>475</v>
      </c>
    </row>
    <row r="130" spans="1:32" x14ac:dyDescent="0.35">
      <c r="H130" s="12"/>
      <c r="K130" s="12"/>
      <c r="L130" s="3"/>
      <c r="M130" s="13"/>
      <c r="O130" s="12" t="s">
        <v>143</v>
      </c>
      <c r="P130" s="12" t="s">
        <v>476</v>
      </c>
      <c r="R130" s="12"/>
      <c r="T130" s="12"/>
      <c r="V130" s="3">
        <v>45442</v>
      </c>
      <c r="W130">
        <v>3.7589999999999999</v>
      </c>
      <c r="Y130" s="12"/>
      <c r="AA130" s="12"/>
      <c r="AF130" s="12" t="s">
        <v>477</v>
      </c>
    </row>
    <row r="131" spans="1:32" x14ac:dyDescent="0.35">
      <c r="H131" s="12"/>
      <c r="K131" s="12"/>
      <c r="L131" s="3"/>
      <c r="O131" s="12" t="s">
        <v>147</v>
      </c>
      <c r="P131" s="12" t="s">
        <v>478</v>
      </c>
      <c r="R131" s="12"/>
      <c r="V131" s="3">
        <v>45441</v>
      </c>
      <c r="W131">
        <v>3.7679999999999998</v>
      </c>
      <c r="Y131" s="12"/>
      <c r="AF131" s="12" t="s">
        <v>479</v>
      </c>
    </row>
    <row r="132" spans="1:32" x14ac:dyDescent="0.35">
      <c r="H132" s="12"/>
      <c r="K132" s="12"/>
      <c r="L132" s="3"/>
      <c r="O132" s="12" t="s">
        <v>151</v>
      </c>
      <c r="P132" s="12" t="s">
        <v>480</v>
      </c>
      <c r="R132" s="12"/>
      <c r="V132" s="3">
        <v>45440</v>
      </c>
      <c r="W132">
        <v>3.7490000000000001</v>
      </c>
      <c r="Y132" s="12"/>
      <c r="AF132" s="12" t="s">
        <v>481</v>
      </c>
    </row>
    <row r="133" spans="1:32" x14ac:dyDescent="0.35">
      <c r="H133" s="12"/>
      <c r="K133" s="12"/>
      <c r="L133" s="3"/>
      <c r="O133" s="12" t="s">
        <v>154</v>
      </c>
      <c r="P133" s="12" t="s">
        <v>482</v>
      </c>
      <c r="R133" s="12"/>
      <c r="V133" s="3">
        <v>45439</v>
      </c>
      <c r="W133">
        <v>3.7749999999999999</v>
      </c>
      <c r="Y133" s="12"/>
      <c r="AF133" s="12" t="s">
        <v>483</v>
      </c>
    </row>
    <row r="134" spans="1:32" x14ac:dyDescent="0.35">
      <c r="H134" s="12"/>
      <c r="K134" s="12"/>
      <c r="L134" s="3"/>
      <c r="O134" s="12" t="s">
        <v>157</v>
      </c>
      <c r="P134" s="12" t="s">
        <v>484</v>
      </c>
      <c r="R134" s="12"/>
      <c r="V134" s="3">
        <v>45436</v>
      </c>
      <c r="W134">
        <v>3.78</v>
      </c>
      <c r="Y134" s="12"/>
      <c r="AF134" s="12" t="s">
        <v>485</v>
      </c>
    </row>
    <row r="135" spans="1:32" x14ac:dyDescent="0.35">
      <c r="H135" s="12"/>
      <c r="K135" s="12"/>
      <c r="L135" s="3"/>
      <c r="O135" s="12" t="s">
        <v>160</v>
      </c>
      <c r="P135" s="12" t="s">
        <v>486</v>
      </c>
      <c r="R135" s="12"/>
      <c r="V135" s="3">
        <v>45435</v>
      </c>
      <c r="W135">
        <v>3.7829999999999999</v>
      </c>
      <c r="Y135" s="12"/>
      <c r="AF135" s="12" t="s">
        <v>487</v>
      </c>
    </row>
    <row r="136" spans="1:32" x14ac:dyDescent="0.35">
      <c r="H136" s="12"/>
      <c r="K136" s="12"/>
      <c r="O136" s="12" t="s">
        <v>165</v>
      </c>
      <c r="P136" s="12" t="s">
        <v>488</v>
      </c>
      <c r="R136" s="12"/>
      <c r="V136" s="3">
        <v>45434</v>
      </c>
      <c r="W136">
        <v>3.7839999999999998</v>
      </c>
      <c r="Y136" s="12"/>
      <c r="AF136" s="12" t="s">
        <v>489</v>
      </c>
    </row>
    <row r="137" spans="1:32" x14ac:dyDescent="0.35">
      <c r="H137" s="12"/>
      <c r="K137" s="12"/>
      <c r="O137" s="12" t="s">
        <v>169</v>
      </c>
      <c r="P137" s="12" t="s">
        <v>490</v>
      </c>
      <c r="R137" s="12"/>
      <c r="V137" s="3">
        <v>45433</v>
      </c>
      <c r="W137">
        <v>3.7839999999999998</v>
      </c>
      <c r="Y137" s="12"/>
      <c r="AF137" s="12" t="s">
        <v>491</v>
      </c>
    </row>
    <row r="138" spans="1:32" x14ac:dyDescent="0.35">
      <c r="H138" s="12"/>
      <c r="K138" s="12"/>
      <c r="O138" s="12" t="s">
        <v>172</v>
      </c>
      <c r="P138" s="12" t="s">
        <v>492</v>
      </c>
      <c r="R138" s="12"/>
      <c r="V138" s="3">
        <v>45432</v>
      </c>
      <c r="W138">
        <v>3.7869999999999999</v>
      </c>
      <c r="Y138" s="12"/>
      <c r="AF138" s="12" t="s">
        <v>493</v>
      </c>
    </row>
    <row r="139" spans="1:32" x14ac:dyDescent="0.35">
      <c r="H139" s="12"/>
      <c r="K139" s="12"/>
      <c r="O139" s="12" t="s">
        <v>175</v>
      </c>
      <c r="P139" s="12" t="s">
        <v>494</v>
      </c>
      <c r="R139" s="12"/>
      <c r="V139" s="3">
        <v>45429</v>
      </c>
      <c r="W139">
        <v>3.7909999999999999</v>
      </c>
      <c r="Y139" s="12"/>
      <c r="AF139" s="12" t="s">
        <v>495</v>
      </c>
    </row>
    <row r="140" spans="1:32" x14ac:dyDescent="0.35">
      <c r="H140" s="12"/>
      <c r="K140" s="12"/>
      <c r="O140" s="12" t="s">
        <v>179</v>
      </c>
      <c r="P140" s="12" t="s">
        <v>496</v>
      </c>
      <c r="R140" s="83"/>
      <c r="V140" s="3">
        <v>45428</v>
      </c>
      <c r="W140">
        <v>3.7949999999999999</v>
      </c>
      <c r="Y140" s="83"/>
      <c r="AF140" s="12" t="s">
        <v>497</v>
      </c>
    </row>
    <row r="141" spans="1:32" x14ac:dyDescent="0.35">
      <c r="H141" s="12"/>
      <c r="K141" s="83"/>
      <c r="O141" s="12" t="s">
        <v>182</v>
      </c>
      <c r="P141" s="12" t="s">
        <v>498</v>
      </c>
      <c r="R141" s="12"/>
      <c r="V141" s="3">
        <v>45427</v>
      </c>
      <c r="W141">
        <v>3.798</v>
      </c>
      <c r="Y141" s="12"/>
      <c r="AF141" s="12" t="s">
        <v>499</v>
      </c>
    </row>
    <row r="142" spans="1:32" x14ac:dyDescent="0.35">
      <c r="H142" s="12"/>
      <c r="K142" s="12"/>
      <c r="M142" s="13"/>
      <c r="O142" s="12" t="s">
        <v>186</v>
      </c>
      <c r="P142" s="12" t="s">
        <v>500</v>
      </c>
      <c r="R142" s="12"/>
      <c r="T142" s="12"/>
      <c r="V142" s="3">
        <v>45426</v>
      </c>
      <c r="W142">
        <v>3.7989999999999999</v>
      </c>
      <c r="Y142" s="12"/>
      <c r="AA142" s="12"/>
      <c r="AF142" s="12" t="s">
        <v>501</v>
      </c>
    </row>
    <row r="143" spans="1:32" x14ac:dyDescent="0.35">
      <c r="H143" s="12"/>
      <c r="K143" s="12"/>
      <c r="M143" s="13"/>
      <c r="O143" s="12" t="s">
        <v>191</v>
      </c>
      <c r="P143" s="12" t="s">
        <v>502</v>
      </c>
      <c r="R143" s="12"/>
      <c r="T143" s="12"/>
      <c r="V143" s="3">
        <v>45425</v>
      </c>
      <c r="W143">
        <v>3.8</v>
      </c>
      <c r="Y143" s="12"/>
      <c r="AA143" s="12"/>
      <c r="AF143" s="12" t="s">
        <v>503</v>
      </c>
    </row>
    <row r="144" spans="1:32" x14ac:dyDescent="0.35">
      <c r="H144" s="12"/>
      <c r="K144" s="12"/>
      <c r="M144" s="13"/>
      <c r="R144" s="12"/>
      <c r="T144" s="12"/>
      <c r="V144" s="3">
        <v>45422</v>
      </c>
      <c r="W144">
        <v>3.7890000000000001</v>
      </c>
      <c r="Y144" s="12"/>
      <c r="AA144" s="12"/>
      <c r="AF144" s="12" t="s">
        <v>504</v>
      </c>
    </row>
    <row r="145" spans="8:32" x14ac:dyDescent="0.35">
      <c r="H145" s="12"/>
      <c r="K145" s="12"/>
      <c r="M145" s="13"/>
      <c r="R145" s="12"/>
      <c r="T145" s="12"/>
      <c r="V145" s="3">
        <v>45421</v>
      </c>
      <c r="W145">
        <v>3.802</v>
      </c>
      <c r="Y145" s="12"/>
      <c r="AA145" s="12"/>
      <c r="AF145" s="12" t="s">
        <v>505</v>
      </c>
    </row>
    <row r="146" spans="8:32" x14ac:dyDescent="0.35">
      <c r="H146" s="12"/>
      <c r="K146" s="12"/>
      <c r="M146" s="13"/>
      <c r="R146" s="12"/>
      <c r="T146" s="12"/>
      <c r="V146" s="3">
        <v>45420</v>
      </c>
      <c r="W146">
        <v>3.7949999999999999</v>
      </c>
      <c r="Y146" s="12"/>
      <c r="AA146" s="12"/>
      <c r="AF146" s="12" t="s">
        <v>506</v>
      </c>
    </row>
    <row r="147" spans="8:32" x14ac:dyDescent="0.35">
      <c r="H147" s="12"/>
      <c r="K147" s="12"/>
      <c r="M147" s="13"/>
      <c r="R147" s="12"/>
      <c r="T147" s="12"/>
      <c r="V147" s="3">
        <v>45419</v>
      </c>
      <c r="W147">
        <v>3.802</v>
      </c>
      <c r="Y147" s="12"/>
      <c r="AA147" s="12"/>
      <c r="AF147" s="12" t="s">
        <v>507</v>
      </c>
    </row>
    <row r="148" spans="8:32" x14ac:dyDescent="0.35">
      <c r="H148" s="12"/>
      <c r="K148" s="12"/>
      <c r="M148" s="13"/>
      <c r="R148" s="12"/>
      <c r="T148" s="12"/>
      <c r="V148" s="3">
        <v>45418</v>
      </c>
      <c r="W148">
        <v>3.7909999999999999</v>
      </c>
      <c r="Y148" s="12"/>
      <c r="AA148" s="12"/>
      <c r="AF148" s="12" t="s">
        <v>508</v>
      </c>
    </row>
    <row r="149" spans="8:32" x14ac:dyDescent="0.35">
      <c r="H149" s="12"/>
      <c r="K149" s="12"/>
      <c r="M149" s="13"/>
      <c r="O149" s="6"/>
      <c r="R149" s="12"/>
      <c r="T149" s="12"/>
      <c r="V149" s="3">
        <v>45415</v>
      </c>
      <c r="W149">
        <v>3.802</v>
      </c>
      <c r="Y149" s="12"/>
      <c r="AA149" s="12"/>
      <c r="AF149" s="12" t="s">
        <v>509</v>
      </c>
    </row>
    <row r="150" spans="8:32" x14ac:dyDescent="0.35">
      <c r="H150" s="12"/>
      <c r="K150" s="12"/>
      <c r="M150" s="13"/>
      <c r="R150" s="12"/>
      <c r="T150" s="12"/>
      <c r="V150" s="3">
        <v>45414</v>
      </c>
      <c r="W150">
        <v>3.8279999999999998</v>
      </c>
      <c r="Y150" s="12"/>
      <c r="AA150" s="12"/>
      <c r="AF150" s="12" t="s">
        <v>510</v>
      </c>
    </row>
    <row r="151" spans="8:32" x14ac:dyDescent="0.35">
      <c r="H151" s="12"/>
      <c r="K151" s="12"/>
      <c r="M151" s="13"/>
      <c r="P151" s="12"/>
      <c r="R151" s="12"/>
      <c r="T151" s="12"/>
      <c r="V151" s="3">
        <v>45412</v>
      </c>
      <c r="W151">
        <v>3.7949999999999999</v>
      </c>
      <c r="Y151" s="12"/>
      <c r="AA151" s="12"/>
      <c r="AF151" s="12" t="s">
        <v>511</v>
      </c>
    </row>
    <row r="152" spans="8:32" x14ac:dyDescent="0.35">
      <c r="H152" s="12"/>
      <c r="K152" s="12"/>
      <c r="M152" s="13"/>
      <c r="P152" s="12"/>
      <c r="R152" s="12"/>
      <c r="T152" s="12"/>
      <c r="V152" s="3">
        <v>45411</v>
      </c>
      <c r="W152">
        <v>3.8149999999999999</v>
      </c>
      <c r="Y152" s="12"/>
      <c r="AA152" s="12"/>
      <c r="AF152" s="12" t="s">
        <v>512</v>
      </c>
    </row>
    <row r="153" spans="8:32" x14ac:dyDescent="0.35">
      <c r="H153" s="12"/>
      <c r="K153" s="12"/>
      <c r="M153" s="13"/>
      <c r="P153" s="12"/>
      <c r="R153" s="12"/>
      <c r="T153" s="12"/>
      <c r="V153" s="3">
        <v>45408</v>
      </c>
      <c r="W153">
        <v>3.835</v>
      </c>
      <c r="Y153" s="12"/>
      <c r="AA153" s="12"/>
      <c r="AF153" s="12" t="s">
        <v>513</v>
      </c>
    </row>
    <row r="154" spans="8:32" x14ac:dyDescent="0.35">
      <c r="H154" s="12"/>
      <c r="K154" s="12"/>
      <c r="M154" s="13"/>
      <c r="P154" s="12"/>
      <c r="R154" s="12"/>
      <c r="T154" s="12"/>
      <c r="V154" s="3">
        <v>45407</v>
      </c>
      <c r="W154">
        <v>3.8250000000000002</v>
      </c>
      <c r="Y154" s="12"/>
      <c r="AA154" s="12"/>
      <c r="AF154" s="12" t="s">
        <v>514</v>
      </c>
    </row>
    <row r="155" spans="8:32" x14ac:dyDescent="0.35">
      <c r="H155" s="12"/>
      <c r="K155" s="12"/>
      <c r="M155" s="13"/>
      <c r="P155" s="12"/>
      <c r="R155" s="12"/>
      <c r="T155" s="12"/>
      <c r="V155" s="3">
        <v>45406</v>
      </c>
      <c r="W155">
        <v>3.8330000000000002</v>
      </c>
      <c r="Y155" s="12"/>
      <c r="AA155" s="12"/>
      <c r="AF155" s="12" t="s">
        <v>515</v>
      </c>
    </row>
    <row r="156" spans="8:32" x14ac:dyDescent="0.35">
      <c r="H156" s="12"/>
      <c r="K156" s="12"/>
      <c r="M156" s="13"/>
      <c r="P156" s="12"/>
      <c r="R156" s="12"/>
      <c r="T156" s="12"/>
      <c r="V156" s="3">
        <v>45405</v>
      </c>
      <c r="W156">
        <v>3.8439999999999999</v>
      </c>
      <c r="Y156" s="12"/>
      <c r="AA156" s="12"/>
      <c r="AF156" s="12" t="s">
        <v>516</v>
      </c>
    </row>
    <row r="157" spans="8:32" x14ac:dyDescent="0.35">
      <c r="H157" s="12"/>
      <c r="K157" s="12"/>
      <c r="M157" s="13"/>
      <c r="P157" s="12"/>
      <c r="R157" s="12"/>
      <c r="T157" s="12"/>
      <c r="V157" s="3">
        <v>45404</v>
      </c>
      <c r="W157">
        <v>3.85</v>
      </c>
      <c r="Y157" s="12"/>
      <c r="AA157" s="12"/>
      <c r="AF157" s="12" t="s">
        <v>517</v>
      </c>
    </row>
    <row r="158" spans="8:32" x14ac:dyDescent="0.35">
      <c r="H158" s="12"/>
      <c r="K158" s="12"/>
      <c r="M158" s="13"/>
      <c r="P158" s="12"/>
      <c r="R158" s="12"/>
      <c r="T158" s="12"/>
      <c r="V158" s="3">
        <v>45401</v>
      </c>
      <c r="W158">
        <v>3.8460000000000001</v>
      </c>
      <c r="Y158" s="12"/>
      <c r="AA158" s="12"/>
      <c r="AF158" s="12" t="s">
        <v>518</v>
      </c>
    </row>
    <row r="159" spans="8:32" x14ac:dyDescent="0.35">
      <c r="H159" s="12"/>
      <c r="K159" s="12"/>
      <c r="M159" s="13"/>
      <c r="P159" s="12"/>
      <c r="R159" s="12"/>
      <c r="T159" s="12"/>
      <c r="V159" s="3">
        <v>45400</v>
      </c>
      <c r="W159">
        <v>3.843</v>
      </c>
      <c r="Y159" s="12"/>
      <c r="AA159" s="12"/>
      <c r="AF159" s="12" t="s">
        <v>519</v>
      </c>
    </row>
    <row r="160" spans="8:32" x14ac:dyDescent="0.35">
      <c r="H160" s="12"/>
      <c r="K160" s="12"/>
      <c r="M160" s="13"/>
      <c r="P160" s="12"/>
      <c r="R160" s="12"/>
      <c r="T160" s="12"/>
      <c r="V160" s="3">
        <v>45399</v>
      </c>
      <c r="W160">
        <v>3.8420000000000001</v>
      </c>
      <c r="Y160" s="12"/>
      <c r="AA160" s="12"/>
      <c r="AF160" s="12" t="s">
        <v>520</v>
      </c>
    </row>
    <row r="161" spans="8:32" x14ac:dyDescent="0.35">
      <c r="H161" s="12"/>
      <c r="K161" s="12"/>
      <c r="M161" s="13"/>
      <c r="P161" s="12"/>
      <c r="R161" s="12"/>
      <c r="T161" s="12"/>
      <c r="V161" s="3">
        <v>45398</v>
      </c>
      <c r="W161">
        <v>3.8420000000000001</v>
      </c>
      <c r="Y161" s="12"/>
      <c r="AA161" s="12"/>
      <c r="AF161" s="12" t="s">
        <v>521</v>
      </c>
    </row>
    <row r="162" spans="8:32" x14ac:dyDescent="0.35">
      <c r="H162" s="12"/>
      <c r="K162" s="12"/>
      <c r="M162" s="13"/>
      <c r="P162" s="12"/>
      <c r="R162" s="12"/>
      <c r="T162" s="12"/>
      <c r="V162" s="3">
        <v>45397</v>
      </c>
      <c r="W162">
        <v>3.82</v>
      </c>
      <c r="Y162" s="12"/>
      <c r="AA162" s="12"/>
      <c r="AF162" s="12" t="s">
        <v>522</v>
      </c>
    </row>
    <row r="163" spans="8:32" x14ac:dyDescent="0.35">
      <c r="H163" s="12"/>
      <c r="K163" s="12"/>
      <c r="M163" s="13"/>
      <c r="P163" s="12"/>
      <c r="R163" s="12"/>
      <c r="T163" s="12"/>
      <c r="V163" s="3">
        <v>45394</v>
      </c>
      <c r="W163">
        <v>3.8650000000000002</v>
      </c>
      <c r="Y163" s="12"/>
      <c r="AA163" s="12"/>
      <c r="AF163" s="12" t="s">
        <v>523</v>
      </c>
    </row>
    <row r="164" spans="8:32" x14ac:dyDescent="0.35">
      <c r="H164" s="12"/>
      <c r="K164" s="12"/>
      <c r="M164" s="13"/>
      <c r="P164" s="12"/>
      <c r="R164" s="12"/>
      <c r="T164" s="12"/>
      <c r="V164" s="3">
        <v>45393</v>
      </c>
      <c r="W164">
        <v>3.8620000000000001</v>
      </c>
      <c r="Y164" s="12"/>
      <c r="AA164" s="12"/>
      <c r="AF164" s="12" t="s">
        <v>524</v>
      </c>
    </row>
    <row r="165" spans="8:32" x14ac:dyDescent="0.35">
      <c r="H165" s="12"/>
      <c r="K165" s="12"/>
      <c r="M165" s="13"/>
      <c r="P165" s="12"/>
      <c r="R165" s="12"/>
      <c r="T165" s="12"/>
      <c r="V165" s="3">
        <v>45392</v>
      </c>
      <c r="W165">
        <v>3.83</v>
      </c>
      <c r="Y165" s="12"/>
      <c r="AA165" s="12"/>
      <c r="AF165" s="12" t="s">
        <v>525</v>
      </c>
    </row>
    <row r="166" spans="8:32" x14ac:dyDescent="0.35">
      <c r="H166" s="12"/>
      <c r="K166" s="12"/>
      <c r="M166" s="13"/>
      <c r="P166" s="12"/>
      <c r="R166" s="12"/>
      <c r="T166" s="12"/>
      <c r="V166" s="3">
        <v>45391</v>
      </c>
      <c r="W166">
        <v>3.8679999999999999</v>
      </c>
      <c r="Y166" s="12"/>
      <c r="AA166" s="12"/>
      <c r="AF166" s="12" t="s">
        <v>526</v>
      </c>
    </row>
    <row r="167" spans="8:32" x14ac:dyDescent="0.35">
      <c r="H167" s="12"/>
      <c r="K167" s="12"/>
      <c r="M167" s="13"/>
      <c r="P167" s="12"/>
      <c r="R167" s="12"/>
      <c r="T167" s="12"/>
      <c r="V167" s="3">
        <v>45390</v>
      </c>
      <c r="W167">
        <v>3.8460000000000001</v>
      </c>
      <c r="Y167" s="12"/>
      <c r="AA167" s="12"/>
      <c r="AF167" s="12" t="s">
        <v>527</v>
      </c>
    </row>
    <row r="168" spans="8:32" x14ac:dyDescent="0.35">
      <c r="K168" s="12"/>
      <c r="M168" s="13"/>
      <c r="P168" s="12"/>
      <c r="R168" s="12"/>
      <c r="T168" s="12"/>
      <c r="V168" s="3">
        <v>45387</v>
      </c>
      <c r="W168">
        <v>3.8340000000000001</v>
      </c>
      <c r="Y168" s="12"/>
      <c r="AA168" s="12"/>
      <c r="AF168" s="12" t="s">
        <v>528</v>
      </c>
    </row>
    <row r="169" spans="8:32" x14ac:dyDescent="0.35">
      <c r="K169" s="12"/>
      <c r="M169" s="13"/>
      <c r="P169" s="12"/>
      <c r="R169" s="12"/>
      <c r="T169" s="12"/>
      <c r="V169" s="3">
        <v>45386</v>
      </c>
      <c r="W169">
        <v>3.8439999999999999</v>
      </c>
      <c r="Y169" s="12"/>
      <c r="AA169" s="12"/>
      <c r="AF169" s="12" t="s">
        <v>529</v>
      </c>
    </row>
    <row r="170" spans="8:32" x14ac:dyDescent="0.35">
      <c r="K170" s="12"/>
      <c r="M170" s="13"/>
      <c r="P170" s="12"/>
      <c r="R170" s="12"/>
      <c r="T170" s="12"/>
      <c r="V170" s="3">
        <v>45385</v>
      </c>
      <c r="W170">
        <v>3.8220000000000001</v>
      </c>
      <c r="Y170" s="12"/>
      <c r="AA170" s="12"/>
      <c r="AF170" s="12" t="s">
        <v>530</v>
      </c>
    </row>
    <row r="171" spans="8:32" x14ac:dyDescent="0.35">
      <c r="K171" s="12"/>
      <c r="M171" s="13"/>
      <c r="P171" s="12"/>
      <c r="R171" s="12"/>
      <c r="T171" s="12"/>
      <c r="V171" s="3">
        <v>45384</v>
      </c>
      <c r="W171">
        <v>3.8420000000000001</v>
      </c>
      <c r="Y171" s="12"/>
      <c r="AA171" s="12"/>
      <c r="AF171" s="12" t="s">
        <v>531</v>
      </c>
    </row>
    <row r="172" spans="8:32" x14ac:dyDescent="0.35">
      <c r="K172" s="12"/>
      <c r="M172" s="13"/>
      <c r="P172" s="12"/>
      <c r="R172" s="12"/>
      <c r="T172" s="12"/>
      <c r="V172" s="3">
        <v>45379</v>
      </c>
      <c r="W172">
        <v>3.851</v>
      </c>
      <c r="Y172" s="12"/>
      <c r="AA172" s="12"/>
      <c r="AF172" s="12" t="s">
        <v>532</v>
      </c>
    </row>
    <row r="173" spans="8:32" x14ac:dyDescent="0.35">
      <c r="K173" s="12"/>
      <c r="M173" s="13"/>
      <c r="P173" s="12"/>
      <c r="R173" s="12"/>
      <c r="T173" s="12"/>
      <c r="V173" s="3">
        <v>45378</v>
      </c>
      <c r="W173">
        <v>3.8620000000000001</v>
      </c>
      <c r="Y173" s="12"/>
      <c r="AA173" s="12"/>
      <c r="AF173" s="12" t="s">
        <v>533</v>
      </c>
    </row>
    <row r="174" spans="8:32" x14ac:dyDescent="0.35">
      <c r="K174" s="12"/>
      <c r="M174" s="13"/>
      <c r="R174" s="12"/>
      <c r="T174" s="12"/>
      <c r="V174" s="3">
        <v>45377</v>
      </c>
      <c r="W174">
        <v>3.8580000000000001</v>
      </c>
      <c r="Y174" s="12"/>
      <c r="AA174" s="12"/>
      <c r="AF174" s="12" t="s">
        <v>534</v>
      </c>
    </row>
    <row r="175" spans="8:32" x14ac:dyDescent="0.35">
      <c r="K175" s="12"/>
      <c r="M175" s="13"/>
      <c r="R175" s="12"/>
      <c r="T175" s="12"/>
      <c r="V175" s="3">
        <v>45376</v>
      </c>
      <c r="W175">
        <v>3.855</v>
      </c>
      <c r="Y175" s="12"/>
      <c r="AA175" s="12"/>
      <c r="AF175" s="12" t="s">
        <v>535</v>
      </c>
    </row>
    <row r="176" spans="8:32" x14ac:dyDescent="0.35">
      <c r="K176" s="12"/>
      <c r="M176" s="13"/>
      <c r="R176" s="12"/>
      <c r="T176" s="12"/>
      <c r="V176" s="3">
        <v>45373</v>
      </c>
      <c r="W176">
        <v>3.8740000000000001</v>
      </c>
      <c r="Y176" s="12"/>
      <c r="AA176" s="12"/>
      <c r="AF176" s="12" t="s">
        <v>536</v>
      </c>
    </row>
    <row r="177" spans="11:32" x14ac:dyDescent="0.35">
      <c r="K177" s="12"/>
      <c r="M177" s="13"/>
      <c r="R177" s="12"/>
      <c r="T177" s="12"/>
      <c r="V177" s="3">
        <v>45372</v>
      </c>
      <c r="W177">
        <v>3.9020000000000001</v>
      </c>
      <c r="Y177" s="12"/>
      <c r="AA177" s="12"/>
      <c r="AF177" s="12" t="s">
        <v>537</v>
      </c>
    </row>
    <row r="178" spans="11:32" x14ac:dyDescent="0.35">
      <c r="K178" s="12"/>
      <c r="M178" s="13"/>
      <c r="R178" s="12"/>
      <c r="T178" s="12"/>
      <c r="V178" s="3">
        <v>45371</v>
      </c>
      <c r="W178">
        <v>3.9060000000000001</v>
      </c>
      <c r="Y178" s="12"/>
      <c r="AA178" s="12"/>
      <c r="AF178" s="12" t="s">
        <v>538</v>
      </c>
    </row>
    <row r="179" spans="11:32" x14ac:dyDescent="0.35">
      <c r="K179" s="12"/>
      <c r="M179" s="13"/>
      <c r="R179" s="12"/>
      <c r="T179" s="12"/>
      <c r="V179" s="3">
        <v>45370</v>
      </c>
      <c r="W179">
        <v>3.9089999999999998</v>
      </c>
      <c r="Y179" s="12"/>
      <c r="AA179" s="12"/>
      <c r="AF179" s="12" t="s">
        <v>539</v>
      </c>
    </row>
    <row r="180" spans="11:32" x14ac:dyDescent="0.35">
      <c r="K180" s="12"/>
      <c r="M180" s="13"/>
      <c r="R180" s="12"/>
      <c r="T180" s="12"/>
      <c r="V180" s="3">
        <v>45369</v>
      </c>
      <c r="W180">
        <v>3.915</v>
      </c>
      <c r="Y180" s="12"/>
      <c r="AA180" s="12"/>
      <c r="AF180" s="12" t="s">
        <v>540</v>
      </c>
    </row>
    <row r="181" spans="11:32" x14ac:dyDescent="0.35">
      <c r="K181" s="12"/>
      <c r="M181" s="13"/>
      <c r="R181" s="12"/>
      <c r="T181" s="12"/>
      <c r="V181" s="3">
        <v>45366</v>
      </c>
      <c r="W181">
        <v>3.9079999999999999</v>
      </c>
      <c r="Y181" s="12"/>
      <c r="AA181" s="12"/>
      <c r="AF181" s="12" t="s">
        <v>541</v>
      </c>
    </row>
    <row r="182" spans="11:32" x14ac:dyDescent="0.35">
      <c r="K182" s="12"/>
      <c r="M182" s="13"/>
      <c r="R182" s="12"/>
      <c r="T182" s="12"/>
      <c r="V182" s="3">
        <v>45365</v>
      </c>
      <c r="W182">
        <v>3.903</v>
      </c>
      <c r="Y182" s="12"/>
      <c r="AA182" s="12"/>
      <c r="AF182" s="12" t="s">
        <v>542</v>
      </c>
    </row>
    <row r="183" spans="11:32" x14ac:dyDescent="0.35">
      <c r="K183" s="12"/>
      <c r="M183" s="13"/>
      <c r="R183" s="12"/>
      <c r="T183" s="12"/>
      <c r="V183" s="3">
        <v>45364</v>
      </c>
      <c r="W183">
        <v>3.8919999999999999</v>
      </c>
      <c r="Y183" s="12"/>
      <c r="AA183" s="12"/>
      <c r="AF183" s="12" t="s">
        <v>543</v>
      </c>
    </row>
    <row r="184" spans="11:32" x14ac:dyDescent="0.35">
      <c r="K184" s="12"/>
      <c r="M184" s="13"/>
      <c r="R184" s="12"/>
      <c r="T184" s="12"/>
      <c r="V184" s="3">
        <v>45363</v>
      </c>
      <c r="W184">
        <v>3.9049999999999998</v>
      </c>
      <c r="Y184" s="12"/>
      <c r="AA184" s="12"/>
      <c r="AF184" s="12" t="s">
        <v>544</v>
      </c>
    </row>
    <row r="185" spans="11:32" x14ac:dyDescent="0.35">
      <c r="K185" s="12"/>
      <c r="M185" s="13"/>
      <c r="R185" s="12"/>
      <c r="T185" s="12"/>
      <c r="V185" s="3">
        <v>45362</v>
      </c>
      <c r="W185">
        <v>3.8919999999999999</v>
      </c>
      <c r="Y185" s="12"/>
      <c r="AA185" s="12"/>
      <c r="AF185" s="12" t="s">
        <v>545</v>
      </c>
    </row>
    <row r="186" spans="11:32" x14ac:dyDescent="0.35">
      <c r="K186" s="12"/>
      <c r="M186" s="13"/>
      <c r="R186" s="12"/>
      <c r="T186" s="12"/>
      <c r="V186" s="3">
        <v>45359</v>
      </c>
      <c r="W186">
        <v>3.9020000000000001</v>
      </c>
      <c r="Y186" s="12"/>
      <c r="AA186" s="12"/>
      <c r="AF186" s="12" t="s">
        <v>546</v>
      </c>
    </row>
    <row r="187" spans="11:32" x14ac:dyDescent="0.35">
      <c r="K187" s="12"/>
      <c r="M187" s="13"/>
      <c r="R187" s="12"/>
      <c r="T187" s="12"/>
      <c r="V187" s="3">
        <v>45358</v>
      </c>
      <c r="W187">
        <v>3.9119999999999999</v>
      </c>
      <c r="Y187" s="12"/>
      <c r="AA187" s="12"/>
      <c r="AF187" s="12" t="s">
        <v>547</v>
      </c>
    </row>
    <row r="188" spans="11:32" x14ac:dyDescent="0.35">
      <c r="K188" s="12"/>
      <c r="M188" s="13"/>
      <c r="R188" s="12"/>
      <c r="T188" s="12"/>
      <c r="V188" s="3">
        <v>45357</v>
      </c>
      <c r="W188">
        <v>3.9020000000000001</v>
      </c>
      <c r="Y188" s="12"/>
      <c r="AA188" s="12"/>
      <c r="AF188" s="12" t="s">
        <v>548</v>
      </c>
    </row>
    <row r="189" spans="11:32" x14ac:dyDescent="0.35">
      <c r="K189" s="12"/>
      <c r="M189" s="13"/>
      <c r="R189" s="12"/>
      <c r="T189" s="12"/>
      <c r="V189" s="3">
        <v>45356</v>
      </c>
      <c r="W189">
        <v>3.9209999999999998</v>
      </c>
      <c r="Y189" s="12"/>
      <c r="AA189" s="12"/>
      <c r="AF189" s="12" t="s">
        <v>549</v>
      </c>
    </row>
    <row r="190" spans="11:32" x14ac:dyDescent="0.35">
      <c r="K190" s="12"/>
      <c r="M190" s="13"/>
      <c r="R190" s="12"/>
      <c r="T190" s="12"/>
      <c r="V190" s="3">
        <v>45355</v>
      </c>
      <c r="W190">
        <v>3.915</v>
      </c>
      <c r="Y190" s="12"/>
      <c r="AA190" s="12"/>
      <c r="AF190" s="12" t="s">
        <v>550</v>
      </c>
    </row>
    <row r="191" spans="11:32" x14ac:dyDescent="0.35">
      <c r="K191" s="12"/>
      <c r="M191" s="13"/>
      <c r="R191" s="12"/>
      <c r="T191" s="12"/>
      <c r="V191" s="3">
        <v>45352</v>
      </c>
      <c r="W191">
        <v>3.9119999999999999</v>
      </c>
      <c r="Y191" s="12"/>
      <c r="AA191" s="12"/>
      <c r="AF191" s="12" t="s">
        <v>551</v>
      </c>
    </row>
    <row r="192" spans="11:32" x14ac:dyDescent="0.35">
      <c r="K192" s="12"/>
      <c r="M192" s="13"/>
      <c r="R192" s="12"/>
      <c r="T192" s="12"/>
      <c r="V192" s="3">
        <v>45351</v>
      </c>
      <c r="W192">
        <v>3.9079999999999999</v>
      </c>
      <c r="Y192" s="12"/>
      <c r="AA192" s="12"/>
      <c r="AF192" s="12" t="s">
        <v>552</v>
      </c>
    </row>
    <row r="193" spans="11:32" x14ac:dyDescent="0.35">
      <c r="K193" s="12"/>
      <c r="M193" s="13"/>
      <c r="R193" s="12"/>
      <c r="T193" s="12"/>
      <c r="V193" s="3">
        <v>45350</v>
      </c>
      <c r="W193">
        <v>3.915</v>
      </c>
      <c r="Y193" s="12"/>
      <c r="AA193" s="12"/>
      <c r="AF193" s="12" t="s">
        <v>553</v>
      </c>
    </row>
    <row r="194" spans="11:32" x14ac:dyDescent="0.35">
      <c r="K194" s="12"/>
      <c r="M194" s="13"/>
      <c r="R194" s="12"/>
      <c r="T194" s="12"/>
      <c r="V194" s="3">
        <v>45349</v>
      </c>
      <c r="W194">
        <v>3.9180000000000001</v>
      </c>
      <c r="Y194" s="12"/>
      <c r="AA194" s="12"/>
      <c r="AF194" s="12" t="s">
        <v>554</v>
      </c>
    </row>
    <row r="195" spans="11:32" x14ac:dyDescent="0.35">
      <c r="K195" s="12"/>
      <c r="M195" s="13"/>
      <c r="R195" s="12"/>
      <c r="T195" s="12"/>
      <c r="V195" s="3">
        <v>45348</v>
      </c>
      <c r="W195">
        <v>3.9009999999999998</v>
      </c>
      <c r="Y195" s="12"/>
      <c r="AA195" s="12"/>
      <c r="AF195" s="12" t="s">
        <v>555</v>
      </c>
    </row>
    <row r="196" spans="11:32" x14ac:dyDescent="0.35">
      <c r="K196" s="12"/>
      <c r="M196" s="13"/>
      <c r="R196" s="12"/>
      <c r="T196" s="12"/>
      <c r="V196" s="3">
        <v>45345</v>
      </c>
      <c r="W196">
        <v>3.9140000000000001</v>
      </c>
      <c r="Y196" s="12"/>
      <c r="AA196" s="12"/>
      <c r="AF196" s="12" t="s">
        <v>556</v>
      </c>
    </row>
    <row r="197" spans="11:32" x14ac:dyDescent="0.35">
      <c r="K197" s="12"/>
      <c r="M197" s="13"/>
      <c r="R197" s="12"/>
      <c r="T197" s="12"/>
      <c r="V197" s="3">
        <v>45344</v>
      </c>
      <c r="W197">
        <v>3.907</v>
      </c>
      <c r="Y197" s="12"/>
      <c r="AA197" s="12"/>
      <c r="AF197" s="12" t="s">
        <v>557</v>
      </c>
    </row>
    <row r="198" spans="11:32" x14ac:dyDescent="0.35">
      <c r="K198" s="12"/>
      <c r="M198" s="13"/>
      <c r="R198" s="12"/>
      <c r="T198" s="12"/>
      <c r="V198" s="3">
        <v>45343</v>
      </c>
      <c r="W198">
        <v>3.911</v>
      </c>
      <c r="Y198" s="12"/>
      <c r="AA198" s="12"/>
      <c r="AF198" s="12" t="s">
        <v>558</v>
      </c>
    </row>
    <row r="199" spans="11:32" x14ac:dyDescent="0.35">
      <c r="K199" s="12"/>
      <c r="M199" s="13"/>
      <c r="R199" s="12"/>
      <c r="T199" s="12"/>
      <c r="V199" s="3">
        <v>45342</v>
      </c>
      <c r="W199">
        <v>3.9279999999999999</v>
      </c>
      <c r="Y199" s="12"/>
      <c r="AA199" s="12"/>
      <c r="AF199" s="12" t="s">
        <v>559</v>
      </c>
    </row>
    <row r="200" spans="11:32" x14ac:dyDescent="0.35">
      <c r="K200" s="12"/>
      <c r="M200" s="13"/>
      <c r="R200" s="12"/>
      <c r="T200" s="12"/>
      <c r="V200" s="3">
        <v>45341</v>
      </c>
      <c r="W200">
        <v>3.915</v>
      </c>
      <c r="Y200" s="12"/>
      <c r="AA200" s="12"/>
      <c r="AF200" s="12" t="s">
        <v>560</v>
      </c>
    </row>
    <row r="201" spans="11:32" x14ac:dyDescent="0.35">
      <c r="K201" s="12"/>
      <c r="M201" s="13"/>
      <c r="R201" s="12"/>
      <c r="T201" s="12"/>
      <c r="V201" s="3">
        <v>45338</v>
      </c>
      <c r="W201">
        <v>3.895</v>
      </c>
      <c r="Y201" s="12"/>
      <c r="AA201" s="12"/>
      <c r="AF201" s="12" t="s">
        <v>561</v>
      </c>
    </row>
    <row r="202" spans="11:32" x14ac:dyDescent="0.35">
      <c r="K202" s="12"/>
      <c r="M202" s="13"/>
      <c r="R202" s="12"/>
      <c r="T202" s="12"/>
      <c r="V202" s="3">
        <v>45337</v>
      </c>
      <c r="W202">
        <v>3.9249999999999998</v>
      </c>
      <c r="Y202" s="12"/>
      <c r="AA202" s="12"/>
      <c r="AF202" s="12" t="s">
        <v>562</v>
      </c>
    </row>
    <row r="203" spans="11:32" x14ac:dyDescent="0.35">
      <c r="K203" s="12"/>
      <c r="M203" s="13"/>
      <c r="R203" s="12"/>
      <c r="T203" s="12"/>
      <c r="V203" s="3">
        <v>45336</v>
      </c>
      <c r="W203">
        <v>3.903</v>
      </c>
      <c r="Y203" s="12"/>
      <c r="AA203" s="12"/>
      <c r="AF203" s="12" t="s">
        <v>563</v>
      </c>
    </row>
    <row r="204" spans="11:32" x14ac:dyDescent="0.35">
      <c r="K204" s="12"/>
      <c r="M204" s="13"/>
      <c r="R204" s="12"/>
      <c r="T204" s="12"/>
      <c r="V204" s="3">
        <v>45335</v>
      </c>
      <c r="W204">
        <v>3.8820000000000001</v>
      </c>
      <c r="Y204" s="12"/>
      <c r="AA204" s="12"/>
      <c r="AF204" s="12" t="s">
        <v>564</v>
      </c>
    </row>
    <row r="205" spans="11:32" x14ac:dyDescent="0.35">
      <c r="K205" s="12"/>
      <c r="M205" s="13"/>
      <c r="R205" s="12"/>
      <c r="T205" s="12"/>
      <c r="V205" s="3">
        <v>45334</v>
      </c>
      <c r="W205">
        <v>3.9079999999999999</v>
      </c>
      <c r="Y205" s="12"/>
      <c r="AA205" s="12"/>
      <c r="AF205" s="12" t="s">
        <v>565</v>
      </c>
    </row>
    <row r="206" spans="11:32" x14ac:dyDescent="0.35">
      <c r="K206" s="12"/>
      <c r="M206" s="13"/>
      <c r="R206" s="12"/>
      <c r="T206" s="12"/>
      <c r="Y206" s="12"/>
      <c r="AA206" s="12"/>
      <c r="AF206" s="12" t="s">
        <v>566</v>
      </c>
    </row>
    <row r="207" spans="11:32" x14ac:dyDescent="0.35">
      <c r="K207" s="12"/>
      <c r="M207" s="13"/>
      <c r="R207" s="12"/>
      <c r="T207" s="12"/>
      <c r="Y207" s="12"/>
      <c r="AA207" s="12"/>
      <c r="AF207" s="12" t="s">
        <v>567</v>
      </c>
    </row>
    <row r="208" spans="11:32" x14ac:dyDescent="0.35">
      <c r="K208" s="12"/>
      <c r="M208" s="13"/>
      <c r="R208" s="12"/>
      <c r="T208" s="12"/>
      <c r="Y208" s="12"/>
      <c r="AA208" s="12"/>
      <c r="AF208" s="12" t="s">
        <v>568</v>
      </c>
    </row>
    <row r="209" spans="11:32" x14ac:dyDescent="0.35">
      <c r="K209" s="12"/>
      <c r="M209" s="13"/>
      <c r="R209" s="12"/>
      <c r="T209" s="12"/>
      <c r="Y209" s="12"/>
      <c r="AA209" s="12"/>
      <c r="AF209" s="12" t="s">
        <v>569</v>
      </c>
    </row>
    <row r="210" spans="11:32" x14ac:dyDescent="0.35">
      <c r="K210" s="12"/>
      <c r="M210" s="13"/>
      <c r="R210" s="12"/>
      <c r="T210" s="12"/>
      <c r="Y210" s="12"/>
      <c r="AA210" s="12"/>
      <c r="AF210" s="12" t="s">
        <v>570</v>
      </c>
    </row>
    <row r="211" spans="11:32" x14ac:dyDescent="0.35">
      <c r="K211" s="12"/>
      <c r="M211" s="13"/>
      <c r="R211" s="12"/>
      <c r="T211" s="12"/>
      <c r="Y211" s="12"/>
      <c r="AA211" s="12"/>
      <c r="AF211" s="12" t="s">
        <v>571</v>
      </c>
    </row>
    <row r="212" spans="11:32" x14ac:dyDescent="0.35">
      <c r="K212" s="12"/>
      <c r="M212" s="13"/>
      <c r="R212" s="12"/>
      <c r="T212" s="12"/>
      <c r="Y212" s="12"/>
      <c r="AA212" s="12"/>
      <c r="AF212" s="12" t="s">
        <v>572</v>
      </c>
    </row>
    <row r="213" spans="11:32" x14ac:dyDescent="0.35">
      <c r="K213" s="12"/>
      <c r="M213" s="13"/>
      <c r="R213" s="12"/>
      <c r="T213" s="12"/>
      <c r="Y213" s="12"/>
      <c r="AA213" s="12"/>
      <c r="AF213" s="12" t="s">
        <v>573</v>
      </c>
    </row>
    <row r="214" spans="11:32" x14ac:dyDescent="0.35">
      <c r="K214" s="12"/>
      <c r="M214" s="13"/>
      <c r="R214" s="12"/>
      <c r="T214" s="12"/>
      <c r="Y214" s="12"/>
      <c r="AA214" s="12"/>
      <c r="AF214" s="12" t="s">
        <v>574</v>
      </c>
    </row>
    <row r="215" spans="11:32" x14ac:dyDescent="0.35">
      <c r="K215" s="12"/>
      <c r="M215" s="13"/>
      <c r="R215" s="12"/>
      <c r="T215" s="12"/>
      <c r="Y215" s="12"/>
      <c r="AA215" s="12"/>
      <c r="AF215" s="12" t="s">
        <v>575</v>
      </c>
    </row>
    <row r="216" spans="11:32" x14ac:dyDescent="0.35">
      <c r="K216" s="12"/>
      <c r="M216" s="13"/>
      <c r="R216" s="12"/>
      <c r="T216" s="12"/>
      <c r="Y216" s="12"/>
      <c r="AA216" s="12"/>
      <c r="AF216" s="12" t="s">
        <v>576</v>
      </c>
    </row>
    <row r="217" spans="11:32" x14ac:dyDescent="0.35">
      <c r="K217" s="12"/>
      <c r="M217" s="13"/>
      <c r="R217" s="12"/>
      <c r="T217" s="12"/>
      <c r="Y217" s="12"/>
      <c r="AA217" s="12"/>
      <c r="AF217" s="12" t="s">
        <v>577</v>
      </c>
    </row>
    <row r="218" spans="11:32" x14ac:dyDescent="0.35">
      <c r="K218" s="12"/>
      <c r="M218" s="13"/>
      <c r="R218" s="12"/>
      <c r="T218" s="12"/>
      <c r="Y218" s="12"/>
      <c r="AA218" s="12"/>
      <c r="AF218" s="12"/>
    </row>
    <row r="219" spans="11:32" x14ac:dyDescent="0.35">
      <c r="K219" s="12"/>
      <c r="M219" s="13"/>
      <c r="R219" s="12"/>
      <c r="T219" s="12"/>
      <c r="Y219" s="12"/>
      <c r="AA219" s="12"/>
      <c r="AF219" s="12"/>
    </row>
    <row r="220" spans="11:32" x14ac:dyDescent="0.35">
      <c r="K220" s="12"/>
      <c r="M220" s="13"/>
      <c r="R220" s="12"/>
      <c r="T220" s="12"/>
      <c r="Y220" s="12"/>
      <c r="AA220" s="12"/>
      <c r="AF220" s="12"/>
    </row>
    <row r="221" spans="11:32" x14ac:dyDescent="0.35">
      <c r="K221" s="12"/>
      <c r="M221" s="13"/>
      <c r="R221" s="12"/>
      <c r="T221" s="12"/>
      <c r="Y221" s="12"/>
      <c r="AA221" s="12"/>
      <c r="AF221" s="12"/>
    </row>
    <row r="222" spans="11:32" x14ac:dyDescent="0.35">
      <c r="K222" s="12"/>
      <c r="M222" s="13"/>
      <c r="R222" s="12"/>
      <c r="T222" s="12"/>
      <c r="Y222" s="12"/>
      <c r="AA222" s="12"/>
      <c r="AF222" s="12"/>
    </row>
    <row r="223" spans="11:32" x14ac:dyDescent="0.35">
      <c r="K223" s="12"/>
      <c r="M223" s="13"/>
      <c r="R223" s="12"/>
      <c r="T223" s="12"/>
      <c r="Y223" s="12"/>
      <c r="AA223" s="12"/>
      <c r="AF223" s="12"/>
    </row>
    <row r="224" spans="11:32" x14ac:dyDescent="0.35">
      <c r="K224" s="12"/>
      <c r="M224" s="13"/>
      <c r="R224" s="12"/>
      <c r="T224" s="12"/>
      <c r="Y224" s="12"/>
      <c r="AA224" s="12"/>
      <c r="AF224" s="12"/>
    </row>
    <row r="225" spans="11:32" x14ac:dyDescent="0.35">
      <c r="K225" s="12"/>
      <c r="M225" s="13"/>
      <c r="R225" s="12"/>
      <c r="T225" s="12"/>
      <c r="Y225" s="12"/>
      <c r="AA225" s="12"/>
      <c r="AF225" s="12"/>
    </row>
    <row r="226" spans="11:32" x14ac:dyDescent="0.35">
      <c r="K226" s="12"/>
      <c r="M226" s="13"/>
      <c r="R226" s="12"/>
      <c r="T226" s="12"/>
      <c r="Y226" s="12"/>
      <c r="AA226" s="12"/>
      <c r="AF226" s="12"/>
    </row>
    <row r="227" spans="11:32" x14ac:dyDescent="0.35">
      <c r="K227" s="12"/>
      <c r="M227" s="13"/>
      <c r="R227" s="12"/>
      <c r="T227" s="12"/>
      <c r="Y227" s="12"/>
      <c r="AA227" s="12"/>
      <c r="AF227" s="12"/>
    </row>
    <row r="228" spans="11:32" x14ac:dyDescent="0.35">
      <c r="K228" s="12"/>
      <c r="M228" s="13"/>
      <c r="R228" s="12"/>
      <c r="T228" s="12"/>
      <c r="Y228" s="12"/>
      <c r="AA228" s="12"/>
      <c r="AF228" s="12"/>
    </row>
    <row r="229" spans="11:32" x14ac:dyDescent="0.35">
      <c r="K229" s="12"/>
      <c r="M229" s="13"/>
      <c r="R229" s="12"/>
      <c r="T229" s="12"/>
      <c r="Y229" s="12"/>
      <c r="AA229" s="12"/>
    </row>
    <row r="230" spans="11:32" x14ac:dyDescent="0.35">
      <c r="K230" s="12"/>
      <c r="M230" s="13"/>
      <c r="R230" s="12"/>
      <c r="T230" s="12"/>
      <c r="Y230" s="12"/>
      <c r="AA230" s="12"/>
    </row>
    <row r="231" spans="11:32" x14ac:dyDescent="0.35">
      <c r="K231" s="12"/>
      <c r="M231" s="13"/>
      <c r="R231" s="12"/>
      <c r="T231" s="12"/>
      <c r="Y231" s="12"/>
      <c r="AA231" s="12"/>
    </row>
    <row r="232" spans="11:32" x14ac:dyDescent="0.35">
      <c r="K232" s="12"/>
      <c r="M232" s="13"/>
      <c r="R232" s="12"/>
      <c r="T232" s="12"/>
      <c r="Y232" s="12"/>
      <c r="AA232" s="12"/>
    </row>
    <row r="233" spans="11:32" x14ac:dyDescent="0.35">
      <c r="K233" s="12"/>
      <c r="M233" s="13"/>
      <c r="R233" s="12"/>
      <c r="T233" s="12"/>
      <c r="Y233" s="12"/>
      <c r="AA233" s="12"/>
    </row>
    <row r="234" spans="11:32" x14ac:dyDescent="0.35">
      <c r="K234" s="12"/>
      <c r="M234" s="13"/>
      <c r="R234" s="12"/>
      <c r="T234" s="12"/>
      <c r="Y234" s="12"/>
      <c r="AA234" s="12"/>
    </row>
    <row r="235" spans="11:32" x14ac:dyDescent="0.35">
      <c r="K235" s="12"/>
      <c r="M235" s="13"/>
      <c r="R235" s="12"/>
      <c r="T235" s="12"/>
      <c r="Y235" s="12"/>
      <c r="AA235" s="12"/>
    </row>
    <row r="236" spans="11:32" x14ac:dyDescent="0.35">
      <c r="K236" s="12"/>
      <c r="M236" s="13"/>
      <c r="R236" s="12"/>
      <c r="T236" s="12"/>
      <c r="Y236" s="12"/>
      <c r="AA236" s="12"/>
    </row>
    <row r="237" spans="11:32" x14ac:dyDescent="0.35">
      <c r="K237" s="12"/>
      <c r="R237" s="12"/>
      <c r="Y237" s="12"/>
    </row>
    <row r="238" spans="11:32" x14ac:dyDescent="0.35">
      <c r="K238" s="12"/>
      <c r="R238" s="12"/>
      <c r="Y238" s="12"/>
    </row>
    <row r="239" spans="11:32" x14ac:dyDescent="0.35">
      <c r="K239" s="12"/>
      <c r="R239" s="12"/>
      <c r="Y239" s="12"/>
    </row>
    <row r="240" spans="11:32" x14ac:dyDescent="0.35">
      <c r="K240" s="12"/>
      <c r="R240" s="12"/>
      <c r="Y240" s="12"/>
    </row>
    <row r="241" spans="11:25" x14ac:dyDescent="0.35">
      <c r="K241" s="12"/>
      <c r="R241" s="12"/>
      <c r="Y241" s="12"/>
    </row>
    <row r="242" spans="11:25" x14ac:dyDescent="0.35">
      <c r="K242" s="12"/>
      <c r="R242" s="12"/>
      <c r="Y242" s="12"/>
    </row>
    <row r="243" spans="11:25" x14ac:dyDescent="0.35">
      <c r="K243" s="12"/>
      <c r="R243" s="12"/>
      <c r="Y243" s="12"/>
    </row>
    <row r="244" spans="11:25" x14ac:dyDescent="0.35">
      <c r="K244" s="12"/>
      <c r="R244" s="12"/>
      <c r="Y244" s="12"/>
    </row>
    <row r="245" spans="11:25" x14ac:dyDescent="0.35">
      <c r="K245" s="12"/>
      <c r="R245" s="12"/>
      <c r="Y245" s="12"/>
    </row>
    <row r="246" spans="11:25" x14ac:dyDescent="0.35">
      <c r="K246" s="12"/>
      <c r="R246" s="12"/>
      <c r="Y246" s="12"/>
    </row>
    <row r="247" spans="11:25" x14ac:dyDescent="0.35">
      <c r="K247" s="12"/>
      <c r="R247" s="12"/>
      <c r="Y247" s="12"/>
    </row>
    <row r="248" spans="11:25" x14ac:dyDescent="0.35">
      <c r="K248" s="12"/>
      <c r="R248" s="12"/>
      <c r="Y248" s="12"/>
    </row>
    <row r="249" spans="11:25" x14ac:dyDescent="0.35">
      <c r="K249" s="12"/>
      <c r="R249" s="12"/>
      <c r="Y249" s="12"/>
    </row>
    <row r="250" spans="11:25" x14ac:dyDescent="0.35">
      <c r="K250" s="12"/>
      <c r="R250" s="12"/>
      <c r="Y250" s="12"/>
    </row>
    <row r="251" spans="11:25" x14ac:dyDescent="0.35">
      <c r="K251" s="12"/>
      <c r="R251" s="12"/>
      <c r="Y251" s="12"/>
    </row>
    <row r="252" spans="11:25" x14ac:dyDescent="0.35">
      <c r="K252" s="12"/>
      <c r="R252" s="12"/>
      <c r="Y252" s="12"/>
    </row>
    <row r="253" spans="11:25" x14ac:dyDescent="0.35">
      <c r="K253" s="12"/>
      <c r="R253" s="12"/>
      <c r="Y253" s="12"/>
    </row>
    <row r="254" spans="11:25" x14ac:dyDescent="0.35">
      <c r="K254" s="12"/>
      <c r="R254" s="12"/>
      <c r="Y254" s="12"/>
    </row>
    <row r="255" spans="11:25" x14ac:dyDescent="0.35">
      <c r="K255" s="12"/>
      <c r="R255" s="12"/>
      <c r="Y255" s="12"/>
    </row>
    <row r="256" spans="11:25" x14ac:dyDescent="0.35">
      <c r="K256" s="12"/>
      <c r="R256" s="12"/>
      <c r="Y256" s="12"/>
    </row>
    <row r="257" spans="11:25" x14ac:dyDescent="0.35">
      <c r="K257" s="12"/>
      <c r="R257" s="12"/>
      <c r="Y257" s="12"/>
    </row>
    <row r="258" spans="11:25" x14ac:dyDescent="0.35">
      <c r="K258" s="12"/>
      <c r="R258" s="12"/>
      <c r="Y258" s="12"/>
    </row>
    <row r="259" spans="11:25" x14ac:dyDescent="0.35">
      <c r="K259" s="12"/>
      <c r="R259" s="12"/>
      <c r="Y259" s="12"/>
    </row>
    <row r="260" spans="11:25" x14ac:dyDescent="0.35">
      <c r="K260" s="12"/>
      <c r="R260" s="12"/>
      <c r="Y260" s="12"/>
    </row>
    <row r="261" spans="11:25" x14ac:dyDescent="0.35">
      <c r="K261" s="12"/>
      <c r="R261" s="12"/>
      <c r="Y261" s="12"/>
    </row>
    <row r="262" spans="11:25" x14ac:dyDescent="0.35">
      <c r="K262" s="12"/>
      <c r="R262" s="12"/>
      <c r="Y262" s="12"/>
    </row>
    <row r="263" spans="11:25" x14ac:dyDescent="0.35">
      <c r="K263" s="12"/>
      <c r="R263" s="12"/>
      <c r="Y263" s="12"/>
    </row>
    <row r="264" spans="11:25" x14ac:dyDescent="0.35">
      <c r="K264" s="12"/>
      <c r="R264" s="12"/>
      <c r="Y264" s="12"/>
    </row>
    <row r="265" spans="11:25" x14ac:dyDescent="0.35">
      <c r="K265" s="12"/>
      <c r="R265" s="12"/>
      <c r="Y265" s="12"/>
    </row>
    <row r="266" spans="11:25" x14ac:dyDescent="0.35">
      <c r="K266" s="12"/>
      <c r="R266" s="12"/>
      <c r="Y266" s="12"/>
    </row>
    <row r="267" spans="11:25" x14ac:dyDescent="0.35">
      <c r="K267" s="12"/>
      <c r="R267" s="12"/>
      <c r="Y267" s="12"/>
    </row>
    <row r="268" spans="11:25" x14ac:dyDescent="0.35">
      <c r="K268" s="12"/>
      <c r="R268" s="12"/>
      <c r="Y268" s="12"/>
    </row>
    <row r="269" spans="11:25" x14ac:dyDescent="0.35">
      <c r="K269" s="12"/>
      <c r="R269" s="12"/>
      <c r="Y269" s="12"/>
    </row>
    <row r="270" spans="11:25" x14ac:dyDescent="0.35">
      <c r="K270" s="12"/>
      <c r="R270" s="12"/>
      <c r="Y270" s="12"/>
    </row>
    <row r="271" spans="11:25" x14ac:dyDescent="0.35">
      <c r="K271" s="12"/>
      <c r="R271" s="12"/>
      <c r="Y271" s="12"/>
    </row>
    <row r="272" spans="11:25" x14ac:dyDescent="0.35">
      <c r="K272" s="12"/>
      <c r="R272" s="12"/>
      <c r="Y272" s="12"/>
    </row>
    <row r="273" spans="11:25" x14ac:dyDescent="0.35">
      <c r="K273" s="12"/>
      <c r="R273" s="12"/>
      <c r="Y273" s="12"/>
    </row>
    <row r="274" spans="11:25" x14ac:dyDescent="0.35">
      <c r="K274" s="12"/>
      <c r="R274" s="12"/>
      <c r="Y274" s="12"/>
    </row>
    <row r="275" spans="11:25" x14ac:dyDescent="0.35">
      <c r="K275" s="12"/>
      <c r="R275" s="12"/>
      <c r="Y275" s="12"/>
    </row>
    <row r="276" spans="11:25" x14ac:dyDescent="0.35">
      <c r="K276" s="12"/>
      <c r="R276" s="12"/>
      <c r="Y276" s="12"/>
    </row>
    <row r="277" spans="11:25" x14ac:dyDescent="0.35">
      <c r="K277" s="12"/>
      <c r="R277" s="12"/>
      <c r="Y277" s="12"/>
    </row>
    <row r="278" spans="11:25" x14ac:dyDescent="0.35">
      <c r="K278" s="12"/>
      <c r="R278" s="12"/>
      <c r="Y278" s="12"/>
    </row>
    <row r="279" spans="11:25" x14ac:dyDescent="0.35">
      <c r="K279" s="12"/>
      <c r="R279" s="12"/>
      <c r="Y279" s="12"/>
    </row>
    <row r="280" spans="11:25" x14ac:dyDescent="0.35">
      <c r="K280" s="12"/>
      <c r="R280" s="12"/>
      <c r="Y280" s="12"/>
    </row>
    <row r="281" spans="11:25" x14ac:dyDescent="0.35">
      <c r="K281" s="12"/>
      <c r="R281" s="12"/>
      <c r="Y281" s="12"/>
    </row>
    <row r="282" spans="11:25" x14ac:dyDescent="0.35">
      <c r="K282" s="12"/>
      <c r="R282" s="12"/>
      <c r="Y282" s="12"/>
    </row>
    <row r="283" spans="11:25" x14ac:dyDescent="0.35">
      <c r="K283" s="12"/>
      <c r="R283" s="12"/>
      <c r="Y283" s="12"/>
    </row>
    <row r="284" spans="11:25" x14ac:dyDescent="0.35">
      <c r="K284" s="12"/>
      <c r="R284" s="12"/>
      <c r="Y284" s="12"/>
    </row>
    <row r="285" spans="11:25" x14ac:dyDescent="0.35">
      <c r="K285" s="12"/>
      <c r="R285" s="12"/>
      <c r="Y285" s="12"/>
    </row>
    <row r="286" spans="11:25" x14ac:dyDescent="0.35">
      <c r="K286" s="12"/>
      <c r="R286" s="12"/>
      <c r="Y286" s="12"/>
    </row>
    <row r="287" spans="11:25" x14ac:dyDescent="0.35">
      <c r="K287" s="12"/>
      <c r="R287" s="12"/>
      <c r="Y287" s="12"/>
    </row>
    <row r="288" spans="11:25" x14ac:dyDescent="0.35">
      <c r="K288" s="12"/>
      <c r="R288" s="12"/>
      <c r="Y288" s="12"/>
    </row>
    <row r="289" spans="11:25" x14ac:dyDescent="0.35">
      <c r="K289" s="12"/>
      <c r="R289" s="12"/>
      <c r="Y289" s="12"/>
    </row>
    <row r="290" spans="11:25" x14ac:dyDescent="0.35">
      <c r="K290" s="12"/>
      <c r="R290" s="12"/>
      <c r="Y290" s="12"/>
    </row>
    <row r="291" spans="11:25" x14ac:dyDescent="0.35">
      <c r="K291" s="12"/>
      <c r="R291" s="12"/>
      <c r="Y291" s="12"/>
    </row>
    <row r="292" spans="11:25" x14ac:dyDescent="0.35">
      <c r="K292" s="12"/>
      <c r="R292" s="12"/>
      <c r="Y292" s="12"/>
    </row>
    <row r="293" spans="11:25" x14ac:dyDescent="0.35">
      <c r="K293" s="12"/>
      <c r="R293" s="12"/>
      <c r="Y293" s="12"/>
    </row>
    <row r="294" spans="11:25" x14ac:dyDescent="0.35">
      <c r="K294" s="12"/>
      <c r="R294" s="12"/>
      <c r="Y294" s="12"/>
    </row>
    <row r="295" spans="11:25" x14ac:dyDescent="0.35">
      <c r="K295" s="12"/>
      <c r="R295" s="12"/>
      <c r="Y295" s="12"/>
    </row>
    <row r="296" spans="11:25" x14ac:dyDescent="0.35">
      <c r="K296" s="12"/>
      <c r="R296" s="12"/>
      <c r="Y296" s="12"/>
    </row>
    <row r="297" spans="11:25" x14ac:dyDescent="0.35">
      <c r="K297" s="12"/>
      <c r="R297" s="12"/>
      <c r="Y297" s="12"/>
    </row>
    <row r="298" spans="11:25" x14ac:dyDescent="0.35">
      <c r="K298" s="12"/>
      <c r="R298" s="12"/>
      <c r="Y298" s="12"/>
    </row>
    <row r="299" spans="11:25" x14ac:dyDescent="0.35">
      <c r="K299" s="12"/>
      <c r="R299" s="12"/>
      <c r="Y299" s="12"/>
    </row>
    <row r="300" spans="11:25" x14ac:dyDescent="0.35">
      <c r="K300" s="12"/>
      <c r="R300" s="12"/>
      <c r="Y300" s="12"/>
    </row>
    <row r="301" spans="11:25" x14ac:dyDescent="0.35">
      <c r="K301" s="12"/>
      <c r="R301" s="12"/>
      <c r="Y301" s="12"/>
    </row>
    <row r="302" spans="11:25" x14ac:dyDescent="0.35">
      <c r="K302" s="12"/>
      <c r="R302" s="12"/>
      <c r="Y302" s="12"/>
    </row>
    <row r="303" spans="11:25" x14ac:dyDescent="0.35">
      <c r="K303" s="12"/>
      <c r="R303" s="12"/>
      <c r="Y303" s="12"/>
    </row>
    <row r="304" spans="11:25" x14ac:dyDescent="0.35">
      <c r="K304" s="12"/>
      <c r="R304" s="12"/>
      <c r="Y304" s="12"/>
    </row>
    <row r="305" spans="11:25" x14ac:dyDescent="0.35">
      <c r="K305" s="12"/>
      <c r="R305" s="12"/>
      <c r="Y305" s="12"/>
    </row>
    <row r="306" spans="11:25" x14ac:dyDescent="0.35">
      <c r="K306" s="12"/>
      <c r="R306" s="12"/>
      <c r="Y306" s="12"/>
    </row>
    <row r="307" spans="11:25" x14ac:dyDescent="0.35">
      <c r="K307" s="12"/>
      <c r="R307" s="12"/>
      <c r="Y307" s="12"/>
    </row>
    <row r="308" spans="11:25" x14ac:dyDescent="0.35">
      <c r="K308" s="12"/>
      <c r="R308" s="12"/>
      <c r="Y308" s="12"/>
    </row>
    <row r="309" spans="11:25" x14ac:dyDescent="0.35">
      <c r="K309" s="12"/>
      <c r="R309" s="12"/>
      <c r="Y309" s="12"/>
    </row>
    <row r="310" spans="11:25" x14ac:dyDescent="0.35">
      <c r="K310" s="12"/>
      <c r="R310" s="12"/>
      <c r="Y310" s="12"/>
    </row>
    <row r="311" spans="11:25" x14ac:dyDescent="0.35">
      <c r="K311" s="12"/>
      <c r="R311" s="12"/>
      <c r="Y311" s="12"/>
    </row>
    <row r="312" spans="11:25" x14ac:dyDescent="0.35">
      <c r="K312" s="12"/>
      <c r="R312" s="12"/>
      <c r="Y312" s="12"/>
    </row>
    <row r="313" spans="11:25" x14ac:dyDescent="0.35">
      <c r="K313" s="12"/>
      <c r="R313" s="12"/>
      <c r="Y313" s="12"/>
    </row>
    <row r="314" spans="11:25" x14ac:dyDescent="0.35">
      <c r="K314" s="12"/>
      <c r="R314" s="12"/>
      <c r="Y314" s="12"/>
    </row>
    <row r="315" spans="11:25" x14ac:dyDescent="0.35">
      <c r="K315" s="12"/>
      <c r="R315" s="12"/>
      <c r="Y315" s="12"/>
    </row>
    <row r="316" spans="11:25" x14ac:dyDescent="0.35">
      <c r="K316" s="12"/>
      <c r="R316" s="12"/>
      <c r="Y316" s="12"/>
    </row>
    <row r="317" spans="11:25" x14ac:dyDescent="0.35">
      <c r="K317" s="12"/>
      <c r="R317" s="12"/>
      <c r="Y317" s="12"/>
    </row>
    <row r="318" spans="11:25" x14ac:dyDescent="0.35">
      <c r="K318" s="12"/>
      <c r="R318" s="12"/>
      <c r="Y318" s="12"/>
    </row>
    <row r="319" spans="11:25" x14ac:dyDescent="0.35">
      <c r="K319" s="12"/>
      <c r="R319" s="12"/>
      <c r="Y319" s="12"/>
    </row>
    <row r="320" spans="11:25" x14ac:dyDescent="0.35">
      <c r="K320" s="12"/>
      <c r="R320" s="12"/>
      <c r="Y320" s="12"/>
    </row>
    <row r="321" spans="11:25" x14ac:dyDescent="0.35">
      <c r="K321" s="12"/>
      <c r="R321" s="12"/>
      <c r="Y321" s="12"/>
    </row>
    <row r="322" spans="11:25" x14ac:dyDescent="0.35">
      <c r="K322" s="12"/>
      <c r="R322" s="12"/>
      <c r="Y322" s="12"/>
    </row>
    <row r="323" spans="11:25" x14ac:dyDescent="0.35">
      <c r="K323" s="12"/>
      <c r="R323" s="12"/>
      <c r="Y323" s="12"/>
    </row>
    <row r="324" spans="11:25" x14ac:dyDescent="0.35">
      <c r="K324" s="12"/>
      <c r="R324" s="12"/>
      <c r="Y324" s="12"/>
    </row>
    <row r="325" spans="11:25" x14ac:dyDescent="0.35">
      <c r="K325" s="12"/>
      <c r="R325" s="12"/>
      <c r="Y325" s="12"/>
    </row>
    <row r="326" spans="11:25" x14ac:dyDescent="0.35">
      <c r="K326" s="12"/>
      <c r="R326" s="12"/>
      <c r="Y326" s="12"/>
    </row>
    <row r="327" spans="11:25" x14ac:dyDescent="0.35">
      <c r="K327" s="12"/>
      <c r="R327" s="12"/>
      <c r="Y327" s="12"/>
    </row>
    <row r="328" spans="11:25" x14ac:dyDescent="0.35">
      <c r="K328" s="12"/>
      <c r="R328" s="12"/>
      <c r="Y328" s="12"/>
    </row>
    <row r="329" spans="11:25" x14ac:dyDescent="0.35">
      <c r="K329" s="12"/>
      <c r="R329" s="12"/>
      <c r="Y329" s="12"/>
    </row>
    <row r="330" spans="11:25" x14ac:dyDescent="0.35">
      <c r="K330" s="12"/>
      <c r="R330" s="12"/>
      <c r="Y330" s="12"/>
    </row>
    <row r="331" spans="11:25" x14ac:dyDescent="0.35">
      <c r="K331" s="12"/>
      <c r="R331" s="12"/>
      <c r="Y331" s="12"/>
    </row>
    <row r="332" spans="11:25" x14ac:dyDescent="0.35">
      <c r="K332" s="12"/>
      <c r="R332" s="12"/>
      <c r="Y332" s="12"/>
    </row>
    <row r="333" spans="11:25" x14ac:dyDescent="0.35">
      <c r="K333" s="12"/>
      <c r="R333" s="12"/>
      <c r="Y333" s="12"/>
    </row>
    <row r="334" spans="11:25" x14ac:dyDescent="0.35">
      <c r="K334" s="12"/>
      <c r="R334" s="12"/>
      <c r="Y334" s="12"/>
    </row>
    <row r="335" spans="11:25" x14ac:dyDescent="0.35">
      <c r="K335" s="12"/>
      <c r="R335" s="12"/>
      <c r="Y335" s="12"/>
    </row>
    <row r="336" spans="11:25" x14ac:dyDescent="0.35">
      <c r="K336" s="12"/>
      <c r="R336" s="12"/>
      <c r="Y336" s="12"/>
    </row>
    <row r="337" spans="11:25" x14ac:dyDescent="0.35">
      <c r="K337" s="12"/>
      <c r="R337" s="12"/>
      <c r="Y337" s="12"/>
    </row>
    <row r="338" spans="11:25" x14ac:dyDescent="0.35">
      <c r="K338" s="12"/>
      <c r="R338" s="12"/>
      <c r="Y338" s="12"/>
    </row>
    <row r="339" spans="11:25" x14ac:dyDescent="0.35">
      <c r="K339" s="12"/>
      <c r="R339" s="12"/>
      <c r="Y339" s="12"/>
    </row>
    <row r="340" spans="11:25" x14ac:dyDescent="0.35">
      <c r="K340" s="12"/>
      <c r="R340" s="12"/>
      <c r="Y340" s="12"/>
    </row>
    <row r="341" spans="11:25" x14ac:dyDescent="0.35">
      <c r="K341" s="12"/>
      <c r="R341" s="12"/>
      <c r="Y341" s="12"/>
    </row>
    <row r="342" spans="11:25" x14ac:dyDescent="0.35">
      <c r="K342" s="12"/>
      <c r="R342" s="12"/>
      <c r="Y342" s="12"/>
    </row>
    <row r="343" spans="11:25" x14ac:dyDescent="0.35">
      <c r="K343" s="12"/>
      <c r="R343" s="12"/>
      <c r="Y343" s="12"/>
    </row>
    <row r="344" spans="11:25" x14ac:dyDescent="0.35">
      <c r="K344" s="12"/>
      <c r="R344" s="12"/>
      <c r="Y344" s="12"/>
    </row>
    <row r="345" spans="11:25" x14ac:dyDescent="0.35">
      <c r="K345" s="12"/>
      <c r="R345" s="12"/>
      <c r="Y345" s="12"/>
    </row>
    <row r="346" spans="11:25" x14ac:dyDescent="0.35">
      <c r="K346" s="12"/>
      <c r="R346" s="12"/>
      <c r="Y346" s="12"/>
    </row>
    <row r="347" spans="11:25" x14ac:dyDescent="0.35">
      <c r="K347" s="12"/>
      <c r="R347" s="12"/>
      <c r="Y347" s="12"/>
    </row>
    <row r="348" spans="11:25" x14ac:dyDescent="0.35">
      <c r="K348" s="12"/>
      <c r="R348" s="12"/>
      <c r="Y348" s="12"/>
    </row>
    <row r="349" spans="11:25" x14ac:dyDescent="0.35">
      <c r="K349" s="12"/>
      <c r="R349" s="12"/>
      <c r="Y349" s="12"/>
    </row>
    <row r="350" spans="11:25" x14ac:dyDescent="0.35">
      <c r="K350" s="12"/>
      <c r="R350" s="12"/>
      <c r="Y350" s="12"/>
    </row>
    <row r="351" spans="11:25" x14ac:dyDescent="0.35">
      <c r="K351" s="12"/>
      <c r="R351" s="12"/>
      <c r="Y351" s="12"/>
    </row>
    <row r="352" spans="11:25" x14ac:dyDescent="0.35">
      <c r="K352" s="12"/>
      <c r="R352" s="12"/>
      <c r="Y352" s="12"/>
    </row>
    <row r="353" spans="11:25" x14ac:dyDescent="0.35">
      <c r="K353" s="12"/>
      <c r="R353" s="12"/>
      <c r="Y353" s="12"/>
    </row>
    <row r="354" spans="11:25" x14ac:dyDescent="0.35">
      <c r="K354" s="12"/>
      <c r="R354" s="12"/>
      <c r="Y354" s="12"/>
    </row>
    <row r="355" spans="11:25" x14ac:dyDescent="0.35">
      <c r="K355" s="12"/>
      <c r="R355" s="12"/>
      <c r="Y355" s="12"/>
    </row>
    <row r="356" spans="11:25" x14ac:dyDescent="0.35">
      <c r="K356" s="12"/>
      <c r="R356" s="12"/>
      <c r="Y356" s="12"/>
    </row>
    <row r="357" spans="11:25" x14ac:dyDescent="0.35">
      <c r="K357" s="12"/>
      <c r="R357" s="12"/>
      <c r="Y357" s="12"/>
    </row>
    <row r="358" spans="11:25" x14ac:dyDescent="0.35">
      <c r="K358" s="12"/>
      <c r="R358" s="12"/>
      <c r="Y358" s="12"/>
    </row>
    <row r="359" spans="11:25" x14ac:dyDescent="0.35">
      <c r="K359" s="12"/>
      <c r="R359" s="12"/>
      <c r="Y359" s="12"/>
    </row>
    <row r="360" spans="11:25" x14ac:dyDescent="0.35">
      <c r="K360" s="12"/>
      <c r="R360" s="12"/>
      <c r="Y360" s="12"/>
    </row>
    <row r="361" spans="11:25" x14ac:dyDescent="0.35">
      <c r="K361" s="12"/>
      <c r="R361" s="12"/>
      <c r="Y361" s="12"/>
    </row>
    <row r="362" spans="11:25" x14ac:dyDescent="0.35">
      <c r="K362" s="12"/>
      <c r="R362" s="12"/>
      <c r="Y362" s="12"/>
    </row>
    <row r="363" spans="11:25" x14ac:dyDescent="0.35">
      <c r="K363" s="12"/>
      <c r="R363" s="12"/>
      <c r="Y363" s="12"/>
    </row>
    <row r="364" spans="11:25" x14ac:dyDescent="0.35">
      <c r="K364" s="12"/>
      <c r="R364" s="12"/>
      <c r="Y364" s="12"/>
    </row>
    <row r="365" spans="11:25" x14ac:dyDescent="0.35">
      <c r="K365" s="12"/>
      <c r="R365" s="12"/>
      <c r="Y365" s="12"/>
    </row>
    <row r="366" spans="11:25" x14ac:dyDescent="0.35">
      <c r="K366" s="12"/>
      <c r="R366" s="12"/>
      <c r="Y366" s="12"/>
    </row>
    <row r="367" spans="11:25" x14ac:dyDescent="0.35">
      <c r="K367" s="12"/>
      <c r="R367" s="12"/>
      <c r="Y367" s="12"/>
    </row>
    <row r="368" spans="11:25" x14ac:dyDescent="0.35">
      <c r="K368" s="12"/>
      <c r="R368" s="12"/>
      <c r="Y368" s="12"/>
    </row>
    <row r="369" spans="11:25" x14ac:dyDescent="0.35">
      <c r="K369" s="12"/>
      <c r="R369" s="12"/>
      <c r="Y369" s="12"/>
    </row>
    <row r="370" spans="11:25" x14ac:dyDescent="0.35">
      <c r="K370" s="12"/>
      <c r="R370" s="12"/>
      <c r="Y370" s="12"/>
    </row>
    <row r="371" spans="11:25" x14ac:dyDescent="0.35">
      <c r="K371" s="12"/>
      <c r="R371" s="12"/>
      <c r="Y371" s="12"/>
    </row>
    <row r="372" spans="11:25" x14ac:dyDescent="0.35">
      <c r="K372" s="12"/>
      <c r="R372" s="12"/>
      <c r="Y372" s="12"/>
    </row>
    <row r="373" spans="11:25" x14ac:dyDescent="0.35">
      <c r="K373" s="12"/>
      <c r="R373" s="12"/>
      <c r="Y373" s="12"/>
    </row>
    <row r="374" spans="11:25" x14ac:dyDescent="0.35">
      <c r="K374" s="12"/>
      <c r="R374" s="12"/>
      <c r="Y374" s="12"/>
    </row>
    <row r="375" spans="11:25" x14ac:dyDescent="0.35">
      <c r="K375" s="12"/>
      <c r="R375" s="12"/>
      <c r="Y375" s="12"/>
    </row>
    <row r="376" spans="11:25" x14ac:dyDescent="0.35">
      <c r="K376" s="12"/>
      <c r="R376" s="12"/>
      <c r="Y376" s="12"/>
    </row>
    <row r="377" spans="11:25" x14ac:dyDescent="0.35">
      <c r="K377" s="12"/>
      <c r="R377" s="12"/>
      <c r="Y377" s="12"/>
    </row>
    <row r="378" spans="11:25" x14ac:dyDescent="0.35">
      <c r="K378" s="12"/>
      <c r="R378" s="12"/>
      <c r="Y378" s="12"/>
    </row>
    <row r="379" spans="11:25" x14ac:dyDescent="0.35">
      <c r="K379" s="12"/>
      <c r="R379" s="12"/>
      <c r="Y379" s="12"/>
    </row>
    <row r="380" spans="11:25" x14ac:dyDescent="0.35">
      <c r="K380" s="12"/>
      <c r="R380" s="12"/>
      <c r="Y380" s="12"/>
    </row>
    <row r="381" spans="11:25" x14ac:dyDescent="0.35">
      <c r="K381" s="12"/>
      <c r="R381" s="12"/>
      <c r="Y381" s="12"/>
    </row>
    <row r="382" spans="11:25" x14ac:dyDescent="0.35">
      <c r="K382" s="12"/>
      <c r="R382" s="12"/>
      <c r="Y382" s="12"/>
    </row>
    <row r="383" spans="11:25" x14ac:dyDescent="0.35">
      <c r="K383" s="12"/>
      <c r="R383" s="12"/>
      <c r="Y383" s="12"/>
    </row>
    <row r="384" spans="11:25" x14ac:dyDescent="0.35">
      <c r="K384" s="12"/>
      <c r="R384" s="12"/>
      <c r="Y384" s="12"/>
    </row>
    <row r="385" spans="11:25" x14ac:dyDescent="0.35">
      <c r="K385" s="12"/>
      <c r="R385" s="12"/>
      <c r="Y385" s="12"/>
    </row>
    <row r="386" spans="11:25" x14ac:dyDescent="0.35">
      <c r="K386" s="12"/>
      <c r="R386" s="12"/>
      <c r="Y386" s="12"/>
    </row>
    <row r="387" spans="11:25" x14ac:dyDescent="0.35">
      <c r="K387" s="12"/>
      <c r="R387" s="12"/>
      <c r="Y387" s="12"/>
    </row>
    <row r="388" spans="11:25" x14ac:dyDescent="0.35">
      <c r="K388" s="12"/>
      <c r="R388" s="12"/>
      <c r="Y388" s="12"/>
    </row>
    <row r="389" spans="11:25" x14ac:dyDescent="0.35">
      <c r="K389" s="12"/>
      <c r="R389" s="12"/>
      <c r="Y389" s="12"/>
    </row>
    <row r="390" spans="11:25" x14ac:dyDescent="0.35">
      <c r="K390" s="12"/>
      <c r="R390" s="12"/>
      <c r="Y390" s="12"/>
    </row>
    <row r="391" spans="11:25" x14ac:dyDescent="0.35">
      <c r="K391" s="12"/>
      <c r="R391" s="12"/>
      <c r="Y391" s="12"/>
    </row>
    <row r="392" spans="11:25" x14ac:dyDescent="0.35">
      <c r="K392" s="12"/>
      <c r="R392" s="12"/>
      <c r="Y392" s="12"/>
    </row>
    <row r="393" spans="11:25" x14ac:dyDescent="0.35">
      <c r="K393" s="12"/>
      <c r="R393" s="12"/>
      <c r="Y393" s="12"/>
    </row>
    <row r="394" spans="11:25" x14ac:dyDescent="0.35">
      <c r="K394" s="12"/>
      <c r="R394" s="12"/>
      <c r="Y394" s="12"/>
    </row>
    <row r="395" spans="11:25" x14ac:dyDescent="0.35">
      <c r="K395" s="12"/>
      <c r="R395" s="12"/>
      <c r="Y395" s="12"/>
    </row>
    <row r="396" spans="11:25" x14ac:dyDescent="0.35">
      <c r="K396" s="12"/>
      <c r="R396" s="12"/>
      <c r="Y396" s="12"/>
    </row>
    <row r="397" spans="11:25" x14ac:dyDescent="0.35">
      <c r="K397" s="12"/>
      <c r="R397" s="12"/>
      <c r="Y397" s="12"/>
    </row>
    <row r="398" spans="11:25" x14ac:dyDescent="0.35">
      <c r="K398" s="12"/>
      <c r="R398" s="12"/>
      <c r="Y398" s="12"/>
    </row>
    <row r="399" spans="11:25" x14ac:dyDescent="0.35">
      <c r="K399" s="12"/>
      <c r="R399" s="12"/>
      <c r="Y399" s="12"/>
    </row>
    <row r="400" spans="11:25" x14ac:dyDescent="0.35">
      <c r="K400" s="12"/>
      <c r="R400" s="12"/>
      <c r="Y400" s="12"/>
    </row>
    <row r="401" spans="11:25" x14ac:dyDescent="0.35">
      <c r="K401" s="12"/>
      <c r="R401" s="12"/>
      <c r="Y401" s="12"/>
    </row>
    <row r="402" spans="11:25" x14ac:dyDescent="0.35">
      <c r="K402" s="12"/>
      <c r="R402" s="12"/>
      <c r="Y402" s="12"/>
    </row>
    <row r="403" spans="11:25" x14ac:dyDescent="0.35">
      <c r="K403" s="12"/>
      <c r="R403" s="12"/>
      <c r="Y403" s="12"/>
    </row>
    <row r="404" spans="11:25" x14ac:dyDescent="0.35">
      <c r="K404" s="12"/>
      <c r="R404" s="12"/>
      <c r="Y404" s="12"/>
    </row>
    <row r="405" spans="11:25" x14ac:dyDescent="0.35">
      <c r="K405" s="12"/>
      <c r="R405" s="12"/>
      <c r="Y405" s="12"/>
    </row>
    <row r="406" spans="11:25" x14ac:dyDescent="0.35">
      <c r="K406" s="12"/>
      <c r="R406" s="12"/>
      <c r="Y406" s="12"/>
    </row>
    <row r="407" spans="11:25" x14ac:dyDescent="0.35">
      <c r="K407" s="12"/>
      <c r="R407" s="12"/>
      <c r="Y407" s="12"/>
    </row>
    <row r="408" spans="11:25" x14ac:dyDescent="0.35">
      <c r="K408" s="12"/>
      <c r="R408" s="12"/>
      <c r="Y408" s="12"/>
    </row>
    <row r="409" spans="11:25" x14ac:dyDescent="0.35">
      <c r="K409" s="12"/>
      <c r="R409" s="12"/>
      <c r="Y409" s="12"/>
    </row>
    <row r="410" spans="11:25" x14ac:dyDescent="0.35">
      <c r="K410" s="12"/>
      <c r="R410" s="12"/>
      <c r="Y410" s="12"/>
    </row>
    <row r="411" spans="11:25" x14ac:dyDescent="0.35">
      <c r="K411" s="12"/>
      <c r="R411" s="12"/>
      <c r="Y411" s="12"/>
    </row>
    <row r="412" spans="11:25" x14ac:dyDescent="0.35">
      <c r="K412" s="12"/>
      <c r="R412" s="12"/>
      <c r="Y412" s="12"/>
    </row>
    <row r="413" spans="11:25" x14ac:dyDescent="0.35">
      <c r="K413" s="12"/>
      <c r="R413" s="12"/>
      <c r="Y413" s="12"/>
    </row>
    <row r="414" spans="11:25" x14ac:dyDescent="0.35">
      <c r="K414" s="12"/>
    </row>
    <row r="415" spans="11:25" x14ac:dyDescent="0.35">
      <c r="K415" s="12"/>
    </row>
    <row r="416" spans="11:25" x14ac:dyDescent="0.35">
      <c r="K416" s="12"/>
    </row>
    <row r="417" spans="11:11" x14ac:dyDescent="0.35">
      <c r="K417" s="12"/>
    </row>
    <row r="418" spans="11:11" x14ac:dyDescent="0.35">
      <c r="K418" s="12"/>
    </row>
    <row r="419" spans="11:11" x14ac:dyDescent="0.35">
      <c r="K419" s="12"/>
    </row>
    <row r="420" spans="11:11" x14ac:dyDescent="0.35">
      <c r="K420" s="12"/>
    </row>
    <row r="421" spans="11:11" x14ac:dyDescent="0.35">
      <c r="K421" s="12"/>
    </row>
    <row r="422" spans="11:11" x14ac:dyDescent="0.35">
      <c r="K422" s="12"/>
    </row>
    <row r="423" spans="11:11" x14ac:dyDescent="0.35">
      <c r="K423" s="12"/>
    </row>
    <row r="424" spans="11:11" x14ac:dyDescent="0.35">
      <c r="K424" s="12"/>
    </row>
    <row r="425" spans="11:11" x14ac:dyDescent="0.35">
      <c r="K425" s="12"/>
    </row>
    <row r="426" spans="11:11" x14ac:dyDescent="0.35">
      <c r="K426" s="12"/>
    </row>
    <row r="427" spans="11:11" x14ac:dyDescent="0.35">
      <c r="K427" s="12"/>
    </row>
    <row r="428" spans="11:11" x14ac:dyDescent="0.35">
      <c r="K428" s="12"/>
    </row>
    <row r="429" spans="11:11" x14ac:dyDescent="0.35">
      <c r="K429" s="12"/>
    </row>
    <row r="430" spans="11:11" x14ac:dyDescent="0.35">
      <c r="K430" s="12"/>
    </row>
    <row r="431" spans="11:11" x14ac:dyDescent="0.35">
      <c r="K431" s="12"/>
    </row>
    <row r="432" spans="11:11" x14ac:dyDescent="0.35">
      <c r="K432" s="12"/>
    </row>
    <row r="433" spans="11:11" x14ac:dyDescent="0.35">
      <c r="K433" s="12"/>
    </row>
    <row r="434" spans="11:11" x14ac:dyDescent="0.35">
      <c r="K434" s="12"/>
    </row>
    <row r="435" spans="11:11" x14ac:dyDescent="0.35">
      <c r="K435" s="12"/>
    </row>
    <row r="436" spans="11:11" x14ac:dyDescent="0.35">
      <c r="K436" s="12"/>
    </row>
    <row r="437" spans="11:11" x14ac:dyDescent="0.35">
      <c r="K437" s="12"/>
    </row>
    <row r="438" spans="11:11" x14ac:dyDescent="0.35">
      <c r="K438" s="12"/>
    </row>
    <row r="439" spans="11:11" x14ac:dyDescent="0.35">
      <c r="K439" s="12"/>
    </row>
  </sheetData>
  <mergeCells count="9">
    <mergeCell ref="R1:S1"/>
    <mergeCell ref="V1:W1"/>
    <mergeCell ref="Y1:Z1"/>
    <mergeCell ref="AF1:AG1"/>
    <mergeCell ref="A1:G1"/>
    <mergeCell ref="H1:I1"/>
    <mergeCell ref="K1:L1"/>
    <mergeCell ref="O1:P1"/>
    <mergeCell ref="AC1:AD1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502"/>
  <sheetViews>
    <sheetView zoomScale="80" zoomScaleNormal="80" workbookViewId="0">
      <selection activeCell="A11" sqref="A11"/>
    </sheetView>
  </sheetViews>
  <sheetFormatPr defaultRowHeight="14.5" x14ac:dyDescent="0.35"/>
  <cols>
    <col min="1" max="1" width="16.7265625" bestFit="1" customWidth="1"/>
    <col min="2" max="2" width="15" bestFit="1" customWidth="1"/>
    <col min="3" max="3" width="40.26953125" bestFit="1" customWidth="1"/>
    <col min="4" max="4" width="12.81640625" bestFit="1" customWidth="1"/>
    <col min="5" max="5" width="12.81640625" customWidth="1"/>
    <col min="6" max="6" width="40.26953125" bestFit="1" customWidth="1"/>
    <col min="7" max="7" width="3.1796875" style="4" customWidth="1"/>
    <col min="8" max="8" width="31" customWidth="1"/>
    <col min="9" max="9" width="21.54296875" customWidth="1"/>
    <col min="10" max="10" width="3.1796875" style="4" customWidth="1"/>
    <col min="11" max="11" width="20.26953125" customWidth="1"/>
    <col min="12" max="12" width="24" customWidth="1"/>
    <col min="13" max="13" width="16.453125" customWidth="1"/>
    <col min="14" max="14" width="3.1796875" style="4" customWidth="1"/>
    <col min="15" max="15" width="26.81640625" customWidth="1"/>
    <col min="16" max="16" width="33.7265625" customWidth="1"/>
    <col min="17" max="17" width="3.1796875" style="4" customWidth="1"/>
    <col min="18" max="18" width="20.26953125" customWidth="1"/>
    <col min="19" max="19" width="24" customWidth="1"/>
    <col min="20" max="20" width="16.453125" customWidth="1"/>
    <col min="21" max="21" width="3.1796875" style="4" customWidth="1"/>
    <col min="22" max="22" width="23.1796875" style="3" bestFit="1" customWidth="1"/>
    <col min="23" max="23" width="22.1796875" bestFit="1" customWidth="1"/>
    <col min="24" max="24" width="3.1796875" style="4" customWidth="1"/>
    <col min="25" max="25" width="20.26953125" customWidth="1"/>
    <col min="26" max="26" width="24" customWidth="1"/>
    <col min="27" max="27" width="16.453125" customWidth="1"/>
    <col min="28" max="28" width="3.1796875" style="4" customWidth="1"/>
    <col min="29" max="29" width="20.54296875" bestFit="1" customWidth="1"/>
    <col min="30" max="30" width="15.7265625" customWidth="1"/>
    <col min="31" max="31" width="3.1796875" style="4" customWidth="1"/>
    <col min="32" max="32" width="23.1796875" bestFit="1" customWidth="1"/>
    <col min="33" max="33" width="22.1796875" bestFit="1" customWidth="1"/>
    <col min="34" max="34" width="3.1796875" style="4" customWidth="1"/>
  </cols>
  <sheetData>
    <row r="1" spans="1:34" x14ac:dyDescent="0.35">
      <c r="A1" s="108" t="s">
        <v>18</v>
      </c>
      <c r="B1" s="108"/>
      <c r="C1" s="108"/>
      <c r="D1" s="108"/>
      <c r="E1" s="108"/>
      <c r="F1" s="108"/>
      <c r="G1" s="108"/>
      <c r="H1" s="108" t="s">
        <v>7</v>
      </c>
      <c r="I1" s="108"/>
      <c r="J1" s="2"/>
      <c r="K1" s="108" t="s">
        <v>9</v>
      </c>
      <c r="L1" s="108"/>
      <c r="M1" s="1"/>
      <c r="N1" s="2"/>
      <c r="O1" s="108" t="s">
        <v>19</v>
      </c>
      <c r="P1" s="108"/>
      <c r="Q1" s="2"/>
      <c r="R1" s="108" t="s">
        <v>20</v>
      </c>
      <c r="S1" s="108"/>
      <c r="T1" s="1"/>
      <c r="U1" s="2"/>
      <c r="V1" s="108" t="s">
        <v>21</v>
      </c>
      <c r="W1" s="108"/>
      <c r="X1" s="2"/>
      <c r="Y1" s="108" t="s">
        <v>22</v>
      </c>
      <c r="Z1" s="108"/>
      <c r="AA1" s="1"/>
      <c r="AB1" s="2"/>
      <c r="AC1" s="108" t="s">
        <v>23</v>
      </c>
      <c r="AD1" s="108"/>
      <c r="AE1" s="2"/>
      <c r="AF1" s="108" t="s">
        <v>24</v>
      </c>
      <c r="AG1" s="108"/>
      <c r="AH1" s="2"/>
    </row>
    <row r="2" spans="1:34" x14ac:dyDescent="0.35">
      <c r="A2" t="s">
        <v>25</v>
      </c>
      <c r="B2" t="s">
        <v>26</v>
      </c>
      <c r="C2" s="3" t="s">
        <v>27</v>
      </c>
      <c r="D2" s="3" t="s">
        <v>28</v>
      </c>
      <c r="E2" s="3" t="s">
        <v>29</v>
      </c>
      <c r="F2" t="s">
        <v>30</v>
      </c>
      <c r="H2" t="s">
        <v>25</v>
      </c>
      <c r="I2" s="3" t="s">
        <v>8</v>
      </c>
      <c r="K2" t="s">
        <v>25</v>
      </c>
      <c r="L2" s="3" t="s">
        <v>10</v>
      </c>
      <c r="M2" s="3"/>
      <c r="R2" t="s">
        <v>78</v>
      </c>
      <c r="S2" t="s">
        <v>578</v>
      </c>
      <c r="V2" t="s">
        <v>5</v>
      </c>
      <c r="W2" t="s">
        <v>579</v>
      </c>
      <c r="Y2" t="s">
        <v>5</v>
      </c>
      <c r="Z2" t="s">
        <v>579</v>
      </c>
      <c r="AC2" t="s">
        <v>31</v>
      </c>
      <c r="AD2" t="s">
        <v>32</v>
      </c>
      <c r="AF2" t="s">
        <v>31</v>
      </c>
      <c r="AG2" t="s">
        <v>32</v>
      </c>
    </row>
    <row r="3" spans="1:34" x14ac:dyDescent="0.35">
      <c r="A3" t="s">
        <v>580</v>
      </c>
      <c r="B3" t="s">
        <v>33</v>
      </c>
      <c r="C3" s="3">
        <v>45617</v>
      </c>
      <c r="D3" s="3">
        <v>45618</v>
      </c>
      <c r="E3" s="3">
        <v>45621</v>
      </c>
      <c r="F3">
        <v>0.99991111899999996</v>
      </c>
      <c r="H3" t="s">
        <v>5</v>
      </c>
      <c r="I3" t="s">
        <v>579</v>
      </c>
      <c r="K3" t="s">
        <v>5</v>
      </c>
      <c r="L3" t="s">
        <v>579</v>
      </c>
      <c r="O3" s="6" t="s">
        <v>5</v>
      </c>
      <c r="P3" t="s">
        <v>579</v>
      </c>
      <c r="V3" t="s">
        <v>21</v>
      </c>
      <c r="W3" t="s">
        <v>581</v>
      </c>
      <c r="Y3" t="s">
        <v>34</v>
      </c>
      <c r="Z3" t="s">
        <v>582</v>
      </c>
      <c r="AC3" t="s">
        <v>35</v>
      </c>
      <c r="AD3">
        <v>2482.0410000000002</v>
      </c>
      <c r="AF3" t="s">
        <v>35</v>
      </c>
      <c r="AG3">
        <v>2482.0410000000002</v>
      </c>
    </row>
    <row r="4" spans="1:34" x14ac:dyDescent="0.35">
      <c r="A4" t="s">
        <v>583</v>
      </c>
      <c r="B4" t="s">
        <v>36</v>
      </c>
      <c r="C4" s="3">
        <v>45617</v>
      </c>
      <c r="D4" s="3">
        <v>45621</v>
      </c>
      <c r="E4" s="3">
        <v>45628</v>
      </c>
      <c r="F4">
        <v>0.99964592299999999</v>
      </c>
      <c r="O4" s="7" t="s">
        <v>6</v>
      </c>
      <c r="P4" s="3">
        <v>45593</v>
      </c>
      <c r="R4" t="s">
        <v>37</v>
      </c>
      <c r="S4" t="s">
        <v>38</v>
      </c>
      <c r="T4" t="s">
        <v>39</v>
      </c>
      <c r="V4" t="s">
        <v>584</v>
      </c>
      <c r="Y4" t="s">
        <v>578</v>
      </c>
      <c r="AC4" t="s">
        <v>25</v>
      </c>
      <c r="AD4" t="s">
        <v>110</v>
      </c>
      <c r="AF4" t="s">
        <v>25</v>
      </c>
      <c r="AG4" t="s">
        <v>195</v>
      </c>
    </row>
    <row r="5" spans="1:34" x14ac:dyDescent="0.35">
      <c r="A5" t="s">
        <v>585</v>
      </c>
      <c r="B5" t="s">
        <v>40</v>
      </c>
      <c r="C5" s="3">
        <v>45617</v>
      </c>
      <c r="D5" s="3">
        <v>45628</v>
      </c>
      <c r="E5" s="3">
        <v>45653</v>
      </c>
      <c r="F5">
        <v>0.99903575899999997</v>
      </c>
      <c r="H5" s="3" t="s">
        <v>6</v>
      </c>
      <c r="I5" s="3">
        <v>45623</v>
      </c>
      <c r="K5" s="3" t="s">
        <v>6</v>
      </c>
      <c r="L5" s="3">
        <v>45623</v>
      </c>
      <c r="M5" s="3"/>
      <c r="O5" s="7" t="s">
        <v>41</v>
      </c>
      <c r="P5" s="3">
        <v>45595</v>
      </c>
      <c r="R5" s="3">
        <v>45617</v>
      </c>
      <c r="S5">
        <v>2.2389999999999999</v>
      </c>
      <c r="T5">
        <v>2.25</v>
      </c>
      <c r="V5" s="3" t="s">
        <v>37</v>
      </c>
      <c r="W5" t="s">
        <v>42</v>
      </c>
      <c r="Y5" s="3"/>
      <c r="Z5" t="s">
        <v>43</v>
      </c>
      <c r="AA5" t="s">
        <v>44</v>
      </c>
      <c r="AC5" t="s">
        <v>6</v>
      </c>
      <c r="AD5" s="3">
        <v>45623</v>
      </c>
      <c r="AF5" t="s">
        <v>6</v>
      </c>
      <c r="AG5" s="3">
        <v>45623</v>
      </c>
    </row>
    <row r="6" spans="1:34" x14ac:dyDescent="0.35">
      <c r="A6" t="s">
        <v>586</v>
      </c>
      <c r="B6" t="s">
        <v>45</v>
      </c>
      <c r="C6" s="3">
        <v>45617</v>
      </c>
      <c r="D6" s="3">
        <v>45653</v>
      </c>
      <c r="E6" s="3">
        <v>45684</v>
      </c>
      <c r="F6">
        <v>0.99691746800000003</v>
      </c>
      <c r="H6" s="3" t="s">
        <v>41</v>
      </c>
      <c r="I6" s="3">
        <v>45621</v>
      </c>
      <c r="K6" s="3" t="s">
        <v>41</v>
      </c>
      <c r="L6" s="3">
        <v>45621</v>
      </c>
      <c r="M6" s="3"/>
      <c r="R6" s="3">
        <v>45616</v>
      </c>
      <c r="S6">
        <v>2.246</v>
      </c>
      <c r="T6">
        <v>2.2559999999999998</v>
      </c>
      <c r="V6" s="3">
        <v>45616</v>
      </c>
      <c r="W6">
        <v>2.7610000000000001</v>
      </c>
      <c r="Y6" s="13" t="s">
        <v>46</v>
      </c>
      <c r="Z6" t="e">
        <v>#N/A</v>
      </c>
      <c r="AA6" t="e">
        <v>#N/A</v>
      </c>
      <c r="AC6" t="s">
        <v>13</v>
      </c>
      <c r="AD6" s="3">
        <v>45674</v>
      </c>
      <c r="AF6" t="s">
        <v>13</v>
      </c>
      <c r="AG6" s="3">
        <v>45674</v>
      </c>
    </row>
    <row r="7" spans="1:34" x14ac:dyDescent="0.35">
      <c r="A7" t="s">
        <v>587</v>
      </c>
      <c r="B7" t="s">
        <v>48</v>
      </c>
      <c r="C7" s="3">
        <v>45617</v>
      </c>
      <c r="D7" s="3">
        <v>45684</v>
      </c>
      <c r="E7" s="3">
        <v>45713</v>
      </c>
      <c r="F7">
        <v>0.99431760400000002</v>
      </c>
      <c r="H7" s="3" t="s">
        <v>49</v>
      </c>
      <c r="I7" s="3">
        <v>45638</v>
      </c>
      <c r="K7" s="3" t="s">
        <v>50</v>
      </c>
      <c r="L7" s="3">
        <v>46366</v>
      </c>
      <c r="M7" s="3"/>
      <c r="O7" s="7"/>
      <c r="P7" s="3"/>
      <c r="R7" s="3">
        <v>45615</v>
      </c>
      <c r="S7">
        <v>2.2290000000000001</v>
      </c>
      <c r="T7">
        <v>2.2389999999999999</v>
      </c>
      <c r="V7" s="3">
        <v>45615</v>
      </c>
      <c r="W7">
        <v>2.7429999999999999</v>
      </c>
      <c r="Y7" s="13" t="s">
        <v>51</v>
      </c>
      <c r="Z7" t="e">
        <v>#N/A</v>
      </c>
      <c r="AA7" t="e">
        <v>#N/A</v>
      </c>
      <c r="AC7" t="s">
        <v>52</v>
      </c>
      <c r="AD7">
        <v>51</v>
      </c>
      <c r="AF7" t="s">
        <v>53</v>
      </c>
      <c r="AG7" t="e">
        <v>#NAME?</v>
      </c>
    </row>
    <row r="8" spans="1:34" ht="15" thickBot="1" x14ac:dyDescent="0.4">
      <c r="A8" t="s">
        <v>588</v>
      </c>
      <c r="B8" t="s">
        <v>54</v>
      </c>
      <c r="C8" s="3">
        <v>45617</v>
      </c>
      <c r="D8" s="3">
        <v>45713</v>
      </c>
      <c r="E8" s="3">
        <v>45803</v>
      </c>
      <c r="F8">
        <v>0.99202769800000001</v>
      </c>
      <c r="H8" t="s">
        <v>55</v>
      </c>
      <c r="I8">
        <v>3.1899999999999998E-2</v>
      </c>
      <c r="K8" t="s">
        <v>56</v>
      </c>
      <c r="L8">
        <v>0.02</v>
      </c>
      <c r="O8" s="7"/>
      <c r="P8" s="3"/>
      <c r="R8" s="3">
        <v>45614</v>
      </c>
      <c r="S8">
        <v>2.2269999999999999</v>
      </c>
      <c r="T8">
        <v>2.2370000000000001</v>
      </c>
      <c r="V8" s="3">
        <v>45614</v>
      </c>
      <c r="W8">
        <v>2.7349999999999999</v>
      </c>
      <c r="Y8" s="13" t="s">
        <v>57</v>
      </c>
      <c r="Z8" s="12" t="s">
        <v>58</v>
      </c>
      <c r="AA8" t="s">
        <v>58</v>
      </c>
      <c r="AC8" t="s">
        <v>55</v>
      </c>
      <c r="AD8">
        <v>2495.75</v>
      </c>
      <c r="AF8" t="s">
        <v>59</v>
      </c>
      <c r="AG8">
        <v>2440</v>
      </c>
    </row>
    <row r="9" spans="1:34" x14ac:dyDescent="0.35">
      <c r="A9" t="s">
        <v>589</v>
      </c>
      <c r="B9" t="s">
        <v>60</v>
      </c>
      <c r="C9" s="3">
        <v>45617</v>
      </c>
      <c r="D9" s="3">
        <v>45803</v>
      </c>
      <c r="E9" s="3">
        <v>45894</v>
      </c>
      <c r="F9">
        <v>0.98580100199999998</v>
      </c>
      <c r="H9" t="s">
        <v>61</v>
      </c>
      <c r="I9">
        <v>2.3029999999999998E-2</v>
      </c>
      <c r="K9" t="s">
        <v>62</v>
      </c>
      <c r="L9">
        <v>2.1110000000000004E-2</v>
      </c>
      <c r="O9" s="8"/>
      <c r="P9" s="9"/>
      <c r="R9" s="3">
        <v>45611</v>
      </c>
      <c r="S9">
        <v>2.1779999999999999</v>
      </c>
      <c r="T9">
        <v>2.1880000000000002</v>
      </c>
      <c r="V9" s="3">
        <v>45611</v>
      </c>
      <c r="W9">
        <v>2.7480000000000002</v>
      </c>
      <c r="Y9" s="13" t="s">
        <v>63</v>
      </c>
      <c r="Z9">
        <v>2.4689999999999999</v>
      </c>
      <c r="AA9">
        <v>2.48</v>
      </c>
      <c r="AC9" t="s">
        <v>61</v>
      </c>
      <c r="AD9">
        <v>2496.25</v>
      </c>
      <c r="AF9" t="s">
        <v>64</v>
      </c>
      <c r="AG9" t="s">
        <v>590</v>
      </c>
    </row>
    <row r="10" spans="1:34" x14ac:dyDescent="0.35">
      <c r="A10" t="s">
        <v>591</v>
      </c>
      <c r="B10" t="s">
        <v>65</v>
      </c>
      <c r="C10" s="3">
        <v>45617</v>
      </c>
      <c r="D10" s="3">
        <v>45894</v>
      </c>
      <c r="E10" s="3">
        <v>45986</v>
      </c>
      <c r="F10">
        <v>0.98014655399999995</v>
      </c>
      <c r="H10" s="3" t="s">
        <v>66</v>
      </c>
      <c r="I10">
        <v>99.950999999999993</v>
      </c>
      <c r="K10" t="s">
        <v>67</v>
      </c>
      <c r="L10">
        <v>2.094E-2</v>
      </c>
      <c r="O10" s="6" t="s">
        <v>68</v>
      </c>
      <c r="P10" s="10" t="s">
        <v>581</v>
      </c>
      <c r="R10" s="3">
        <v>45610</v>
      </c>
      <c r="S10">
        <v>2.1680000000000001</v>
      </c>
      <c r="T10">
        <v>2.1779999999999999</v>
      </c>
      <c r="V10" s="3">
        <v>45610</v>
      </c>
      <c r="W10">
        <v>2.7650000000000001</v>
      </c>
      <c r="Y10" s="13" t="s">
        <v>69</v>
      </c>
      <c r="Z10">
        <v>2.2829000000000002</v>
      </c>
      <c r="AA10">
        <v>2.2896999999999998</v>
      </c>
      <c r="AF10" t="s">
        <v>55</v>
      </c>
      <c r="AG10">
        <v>92.75</v>
      </c>
    </row>
    <row r="11" spans="1:34" x14ac:dyDescent="0.35">
      <c r="A11" t="s">
        <v>592</v>
      </c>
      <c r="B11" t="s">
        <v>70</v>
      </c>
      <c r="C11" s="3">
        <v>45617</v>
      </c>
      <c r="D11" s="3">
        <v>45986</v>
      </c>
      <c r="E11" s="3">
        <v>46078</v>
      </c>
      <c r="F11">
        <v>0.97541551000000004</v>
      </c>
      <c r="H11" s="3" t="s">
        <v>71</v>
      </c>
      <c r="I11">
        <v>99.992999999999995</v>
      </c>
      <c r="K11" t="s">
        <v>72</v>
      </c>
      <c r="L11">
        <v>99.775000000000006</v>
      </c>
      <c r="O11" s="6" t="s">
        <v>73</v>
      </c>
      <c r="P11" s="3" t="s">
        <v>593</v>
      </c>
      <c r="R11" s="3">
        <v>45609</v>
      </c>
      <c r="S11">
        <v>2.2450000000000001</v>
      </c>
      <c r="T11">
        <v>2.2549999999999999</v>
      </c>
      <c r="V11" s="3">
        <v>45609</v>
      </c>
      <c r="W11">
        <v>2.7789999999999999</v>
      </c>
      <c r="Y11" s="13" t="s">
        <v>74</v>
      </c>
      <c r="Z11">
        <v>2.262</v>
      </c>
      <c r="AA11">
        <v>2.2730000000000001</v>
      </c>
      <c r="AF11" t="s">
        <v>61</v>
      </c>
      <c r="AG11">
        <v>97.5</v>
      </c>
    </row>
    <row r="12" spans="1:34" x14ac:dyDescent="0.35">
      <c r="A12" t="s">
        <v>594</v>
      </c>
      <c r="B12" t="s">
        <v>75</v>
      </c>
      <c r="C12" s="3">
        <v>45617</v>
      </c>
      <c r="D12" s="3">
        <v>46078</v>
      </c>
      <c r="E12" s="3">
        <v>46167</v>
      </c>
      <c r="F12">
        <v>0.97060566299999995</v>
      </c>
      <c r="H12" s="3" t="s">
        <v>76</v>
      </c>
      <c r="I12" t="s">
        <v>595</v>
      </c>
      <c r="K12" t="s">
        <v>77</v>
      </c>
      <c r="L12">
        <v>99.81</v>
      </c>
      <c r="O12" s="6" t="s">
        <v>13</v>
      </c>
      <c r="P12" s="3" t="s">
        <v>14</v>
      </c>
      <c r="R12" s="3">
        <v>45608</v>
      </c>
      <c r="S12">
        <v>2.2280000000000002</v>
      </c>
      <c r="T12">
        <v>2.238</v>
      </c>
      <c r="V12" s="3">
        <v>45608</v>
      </c>
      <c r="W12">
        <v>2.7970000000000002</v>
      </c>
      <c r="Y12" s="13" t="s">
        <v>78</v>
      </c>
      <c r="Z12">
        <v>2.2389999999999999</v>
      </c>
      <c r="AA12">
        <v>2.25</v>
      </c>
    </row>
    <row r="13" spans="1:34" x14ac:dyDescent="0.35">
      <c r="A13" t="s">
        <v>596</v>
      </c>
      <c r="B13" t="s">
        <v>79</v>
      </c>
      <c r="C13" s="3">
        <v>45617</v>
      </c>
      <c r="D13" s="3">
        <v>46167</v>
      </c>
      <c r="E13" s="3">
        <v>46259</v>
      </c>
      <c r="F13">
        <v>0.96600112000000005</v>
      </c>
      <c r="M13" s="3"/>
      <c r="O13" s="6"/>
      <c r="R13" s="3">
        <v>45607</v>
      </c>
      <c r="S13">
        <v>2.2080000000000002</v>
      </c>
      <c r="T13">
        <v>2.218</v>
      </c>
      <c r="V13" s="3">
        <v>45607</v>
      </c>
      <c r="W13">
        <v>2.831</v>
      </c>
      <c r="Y13" s="13" t="s">
        <v>81</v>
      </c>
      <c r="Z13">
        <v>2.2490000000000001</v>
      </c>
      <c r="AA13">
        <v>2.258</v>
      </c>
    </row>
    <row r="14" spans="1:34" x14ac:dyDescent="0.35">
      <c r="A14" t="s">
        <v>597</v>
      </c>
      <c r="B14" t="s">
        <v>82</v>
      </c>
      <c r="C14" s="3">
        <v>45617</v>
      </c>
      <c r="D14" s="3">
        <v>46259</v>
      </c>
      <c r="E14" s="3">
        <v>46351</v>
      </c>
      <c r="F14">
        <v>0.96101283800000004</v>
      </c>
      <c r="H14" t="s">
        <v>598</v>
      </c>
      <c r="K14" t="s">
        <v>599</v>
      </c>
      <c r="O14" s="6"/>
      <c r="R14" s="3">
        <v>45604</v>
      </c>
      <c r="S14">
        <v>2.25</v>
      </c>
      <c r="T14">
        <v>2.2599999999999998</v>
      </c>
      <c r="V14" s="3">
        <v>45604</v>
      </c>
      <c r="W14">
        <v>2.8220000000000001</v>
      </c>
      <c r="Y14" s="13" t="s">
        <v>83</v>
      </c>
      <c r="Z14">
        <v>2.2629999999999999</v>
      </c>
      <c r="AA14">
        <v>2.27</v>
      </c>
    </row>
    <row r="15" spans="1:34" x14ac:dyDescent="0.35">
      <c r="A15" t="s">
        <v>600</v>
      </c>
      <c r="B15" t="s">
        <v>84</v>
      </c>
      <c r="C15" s="3">
        <v>45617</v>
      </c>
      <c r="D15" s="3">
        <v>46351</v>
      </c>
      <c r="E15" s="3">
        <v>46443</v>
      </c>
      <c r="F15">
        <v>0.95584493299999995</v>
      </c>
      <c r="H15" s="3" t="s">
        <v>85</v>
      </c>
      <c r="I15" t="s">
        <v>86</v>
      </c>
      <c r="K15" s="3" t="s">
        <v>85</v>
      </c>
      <c r="L15" t="s">
        <v>87</v>
      </c>
      <c r="O15" s="6"/>
      <c r="R15" s="3">
        <v>45603</v>
      </c>
      <c r="S15">
        <v>2.2879999999999998</v>
      </c>
      <c r="T15">
        <v>2.298</v>
      </c>
      <c r="V15" s="3">
        <v>45603</v>
      </c>
      <c r="W15">
        <v>2.8580000000000001</v>
      </c>
      <c r="Y15" s="13" t="s">
        <v>88</v>
      </c>
      <c r="Z15">
        <v>2.2770000000000001</v>
      </c>
      <c r="AA15">
        <v>2.2839999999999998</v>
      </c>
    </row>
    <row r="16" spans="1:34" x14ac:dyDescent="0.35">
      <c r="A16" t="s">
        <v>601</v>
      </c>
      <c r="B16" t="s">
        <v>89</v>
      </c>
      <c r="C16" s="3">
        <v>45617</v>
      </c>
      <c r="D16" s="3">
        <v>46443</v>
      </c>
      <c r="E16" s="3">
        <v>46532</v>
      </c>
      <c r="F16">
        <v>0.95065900000000003</v>
      </c>
      <c r="H16" s="3" t="s">
        <v>90</v>
      </c>
      <c r="I16" t="s">
        <v>602</v>
      </c>
      <c r="K16" t="s">
        <v>91</v>
      </c>
      <c r="L16" t="s">
        <v>603</v>
      </c>
      <c r="O16" s="6"/>
      <c r="R16" s="3">
        <v>45602</v>
      </c>
      <c r="S16">
        <v>2.2789999999999999</v>
      </c>
      <c r="T16">
        <v>2.2890000000000001</v>
      </c>
      <c r="V16" s="3">
        <v>45602</v>
      </c>
      <c r="W16">
        <v>2.9159999999999999</v>
      </c>
      <c r="Y16" s="13" t="s">
        <v>92</v>
      </c>
      <c r="Z16">
        <v>2.2930000000000001</v>
      </c>
      <c r="AA16">
        <v>2.2999999999999998</v>
      </c>
    </row>
    <row r="17" spans="1:32" x14ac:dyDescent="0.35">
      <c r="A17" t="s">
        <v>604</v>
      </c>
      <c r="B17" t="s">
        <v>93</v>
      </c>
      <c r="C17" s="3">
        <v>45617</v>
      </c>
      <c r="D17" s="3">
        <v>46532</v>
      </c>
      <c r="E17" s="3">
        <v>46624</v>
      </c>
      <c r="F17">
        <v>0.94564794699999999</v>
      </c>
      <c r="H17" t="s">
        <v>94</v>
      </c>
      <c r="I17" t="s">
        <v>605</v>
      </c>
      <c r="K17" t="s">
        <v>95</v>
      </c>
      <c r="L17" s="3">
        <v>45589</v>
      </c>
      <c r="M17" s="3"/>
      <c r="O17" s="6" t="s">
        <v>96</v>
      </c>
      <c r="R17" s="3">
        <v>45601</v>
      </c>
      <c r="S17">
        <v>2.419</v>
      </c>
      <c r="T17">
        <v>2.4289999999999998</v>
      </c>
      <c r="V17" s="3">
        <v>45601</v>
      </c>
      <c r="W17">
        <v>2.923</v>
      </c>
      <c r="Y17" s="13" t="s">
        <v>97</v>
      </c>
      <c r="Z17">
        <v>2.2999999999999998</v>
      </c>
      <c r="AA17">
        <v>2.3199999999999998</v>
      </c>
      <c r="AC17" s="5" t="s">
        <v>98</v>
      </c>
      <c r="AF17" s="5" t="s">
        <v>99</v>
      </c>
    </row>
    <row r="18" spans="1:32" x14ac:dyDescent="0.35">
      <c r="A18" t="s">
        <v>606</v>
      </c>
      <c r="B18" t="s">
        <v>100</v>
      </c>
      <c r="C18" s="3">
        <v>45617</v>
      </c>
      <c r="D18" s="3">
        <v>46624</v>
      </c>
      <c r="E18" s="3">
        <v>46716</v>
      </c>
      <c r="F18">
        <v>0.94046347699999999</v>
      </c>
      <c r="K18" t="s">
        <v>101</v>
      </c>
      <c r="L18" s="3">
        <v>46001</v>
      </c>
      <c r="M18" s="3"/>
      <c r="O18" s="7">
        <v>45950.625</v>
      </c>
      <c r="P18">
        <v>1.0054794520547945</v>
      </c>
      <c r="R18" s="3">
        <v>45600</v>
      </c>
      <c r="S18">
        <v>2.375</v>
      </c>
      <c r="T18">
        <v>2.3849999999999998</v>
      </c>
      <c r="V18" s="3">
        <v>45600</v>
      </c>
      <c r="W18">
        <v>2.9159999999999999</v>
      </c>
      <c r="Y18" s="13" t="s">
        <v>102</v>
      </c>
      <c r="Z18">
        <v>2.3260000000000001</v>
      </c>
      <c r="AA18">
        <v>2.3330000000000002</v>
      </c>
      <c r="AC18" t="s">
        <v>607</v>
      </c>
      <c r="AF18" t="s">
        <v>608</v>
      </c>
    </row>
    <row r="19" spans="1:32" x14ac:dyDescent="0.35">
      <c r="A19" t="s">
        <v>609</v>
      </c>
      <c r="B19" t="s">
        <v>103</v>
      </c>
      <c r="C19" s="3">
        <v>45617</v>
      </c>
      <c r="D19" s="3">
        <v>46716</v>
      </c>
      <c r="E19" s="3">
        <v>46808</v>
      </c>
      <c r="F19">
        <v>0.93526378600000004</v>
      </c>
      <c r="H19" s="6"/>
      <c r="K19" t="s">
        <v>104</v>
      </c>
      <c r="L19" s="3">
        <v>46001</v>
      </c>
      <c r="O19" s="7">
        <v>46314.625</v>
      </c>
      <c r="P19">
        <v>0.99726027397260275</v>
      </c>
      <c r="R19" s="3">
        <v>45597</v>
      </c>
      <c r="S19">
        <v>2.367</v>
      </c>
      <c r="T19">
        <v>2.371</v>
      </c>
      <c r="V19" s="3">
        <v>45597</v>
      </c>
      <c r="W19">
        <v>2.9119999999999999</v>
      </c>
      <c r="Y19" s="13" t="s">
        <v>105</v>
      </c>
      <c r="Z19">
        <v>2.3250000000000002</v>
      </c>
      <c r="AA19">
        <v>2.3660000000000001</v>
      </c>
      <c r="AC19" s="12" t="s">
        <v>106</v>
      </c>
      <c r="AF19" s="12" t="s">
        <v>32</v>
      </c>
    </row>
    <row r="20" spans="1:32" x14ac:dyDescent="0.35">
      <c r="A20" t="s">
        <v>610</v>
      </c>
      <c r="B20" t="s">
        <v>107</v>
      </c>
      <c r="C20" s="3">
        <v>45617</v>
      </c>
      <c r="D20" s="3">
        <v>46808</v>
      </c>
      <c r="E20" s="3">
        <v>46898</v>
      </c>
      <c r="F20">
        <v>0.93004145199999999</v>
      </c>
      <c r="K20" t="s">
        <v>108</v>
      </c>
      <c r="L20" s="85">
        <v>45589</v>
      </c>
      <c r="O20" s="7">
        <v>46678.625</v>
      </c>
      <c r="P20">
        <v>0.99726027397260275</v>
      </c>
      <c r="R20" s="3">
        <v>45596</v>
      </c>
      <c r="S20">
        <v>2.3559999999999999</v>
      </c>
      <c r="T20">
        <v>2.3660000000000001</v>
      </c>
      <c r="V20" s="3">
        <v>45596</v>
      </c>
      <c r="W20">
        <v>2.8639999999999999</v>
      </c>
      <c r="Y20" s="13" t="s">
        <v>109</v>
      </c>
      <c r="Z20">
        <v>2.339</v>
      </c>
      <c r="AA20">
        <v>2.379</v>
      </c>
      <c r="AC20" s="12" t="s">
        <v>110</v>
      </c>
      <c r="AF20" s="12" t="s">
        <v>111</v>
      </c>
    </row>
    <row r="21" spans="1:32" x14ac:dyDescent="0.35">
      <c r="A21" t="s">
        <v>611</v>
      </c>
      <c r="B21" t="s">
        <v>112</v>
      </c>
      <c r="C21" s="3">
        <v>45617</v>
      </c>
      <c r="D21" s="3">
        <v>46898</v>
      </c>
      <c r="E21" s="3">
        <v>46990</v>
      </c>
      <c r="F21">
        <v>0.92491642299999999</v>
      </c>
      <c r="K21" t="s">
        <v>113</v>
      </c>
      <c r="L21" s="85">
        <v>45589</v>
      </c>
      <c r="O21" s="7"/>
      <c r="R21" s="3">
        <v>45595</v>
      </c>
      <c r="S21">
        <v>2.3570000000000002</v>
      </c>
      <c r="T21">
        <v>2.367</v>
      </c>
      <c r="V21" s="3">
        <v>45595</v>
      </c>
      <c r="W21">
        <v>2.867</v>
      </c>
      <c r="Y21" s="13" t="s">
        <v>114</v>
      </c>
      <c r="Z21">
        <v>2.3530000000000002</v>
      </c>
      <c r="AA21">
        <v>2.3929999999999998</v>
      </c>
      <c r="AC21" s="12" t="s">
        <v>115</v>
      </c>
      <c r="AF21" s="12" t="s">
        <v>116</v>
      </c>
    </row>
    <row r="22" spans="1:32" x14ac:dyDescent="0.35">
      <c r="A22" t="s">
        <v>612</v>
      </c>
      <c r="B22" t="s">
        <v>117</v>
      </c>
      <c r="C22" s="3">
        <v>45617</v>
      </c>
      <c r="D22" s="3">
        <v>46990</v>
      </c>
      <c r="E22" s="3">
        <v>47084</v>
      </c>
      <c r="F22">
        <v>0.91967003800000002</v>
      </c>
      <c r="K22" t="s">
        <v>118</v>
      </c>
      <c r="L22" s="52">
        <v>45589</v>
      </c>
      <c r="O22" s="7"/>
      <c r="R22" s="3">
        <v>45594</v>
      </c>
      <c r="S22">
        <v>2.2490000000000001</v>
      </c>
      <c r="T22">
        <v>2.2589999999999999</v>
      </c>
      <c r="V22" s="3">
        <v>45594</v>
      </c>
      <c r="W22">
        <v>2.8860000000000001</v>
      </c>
      <c r="Y22" s="13" t="s">
        <v>119</v>
      </c>
      <c r="Z22">
        <v>2.363</v>
      </c>
      <c r="AA22">
        <v>2.403</v>
      </c>
      <c r="AC22" s="12" t="s">
        <v>120</v>
      </c>
      <c r="AF22" s="12" t="s">
        <v>121</v>
      </c>
    </row>
    <row r="23" spans="1:32" x14ac:dyDescent="0.35">
      <c r="A23" t="s">
        <v>613</v>
      </c>
      <c r="B23" t="s">
        <v>14</v>
      </c>
      <c r="C23" s="3">
        <v>45617</v>
      </c>
      <c r="D23" s="3">
        <v>47084</v>
      </c>
      <c r="E23" s="3">
        <v>47175</v>
      </c>
      <c r="F23">
        <v>0.91431139299999997</v>
      </c>
      <c r="K23" t="s">
        <v>122</v>
      </c>
      <c r="L23" s="52">
        <v>45589</v>
      </c>
      <c r="O23" s="7"/>
      <c r="R23" s="3">
        <v>45593</v>
      </c>
      <c r="S23">
        <v>2.2290000000000001</v>
      </c>
      <c r="T23">
        <v>2.2389999999999999</v>
      </c>
      <c r="V23" s="3">
        <v>45593</v>
      </c>
      <c r="W23">
        <v>2.9049999999999998</v>
      </c>
      <c r="Y23" s="13" t="s">
        <v>123</v>
      </c>
      <c r="Z23">
        <v>2.3690000000000002</v>
      </c>
      <c r="AA23">
        <v>2.4089999999999998</v>
      </c>
      <c r="AC23" s="12" t="s">
        <v>124</v>
      </c>
      <c r="AF23" s="12" t="s">
        <v>125</v>
      </c>
    </row>
    <row r="24" spans="1:32" x14ac:dyDescent="0.35">
      <c r="A24" t="s">
        <v>614</v>
      </c>
      <c r="B24" t="s">
        <v>126</v>
      </c>
      <c r="C24" s="3">
        <v>45617</v>
      </c>
      <c r="D24" s="3">
        <v>47175</v>
      </c>
      <c r="E24" s="3">
        <v>47263</v>
      </c>
      <c r="F24">
        <v>0.90913324100000004</v>
      </c>
      <c r="O24" s="7"/>
      <c r="R24" s="3">
        <v>45590</v>
      </c>
      <c r="S24">
        <v>2.2559999999999998</v>
      </c>
      <c r="T24">
        <v>2.266</v>
      </c>
      <c r="V24" s="3">
        <v>45590</v>
      </c>
      <c r="W24">
        <v>2.8940000000000001</v>
      </c>
      <c r="Y24" s="3" t="s">
        <v>127</v>
      </c>
      <c r="Z24">
        <v>2.3860000000000001</v>
      </c>
      <c r="AA24">
        <v>2.395</v>
      </c>
      <c r="AC24" s="12" t="s">
        <v>128</v>
      </c>
      <c r="AF24" s="12" t="s">
        <v>129</v>
      </c>
    </row>
    <row r="25" spans="1:32" x14ac:dyDescent="0.35">
      <c r="A25" t="s">
        <v>615</v>
      </c>
      <c r="B25" t="s">
        <v>130</v>
      </c>
      <c r="C25" s="3">
        <v>45617</v>
      </c>
      <c r="D25" s="3">
        <v>47263</v>
      </c>
      <c r="E25" s="3">
        <v>47357</v>
      </c>
      <c r="F25">
        <v>0.90413605100000005</v>
      </c>
      <c r="K25" s="3" t="s">
        <v>90</v>
      </c>
      <c r="L25" t="s">
        <v>602</v>
      </c>
      <c r="O25" s="7"/>
      <c r="R25" s="3">
        <v>45589</v>
      </c>
      <c r="S25">
        <v>2.2349999999999999</v>
      </c>
      <c r="T25">
        <v>2.2450000000000001</v>
      </c>
      <c r="V25" s="3">
        <v>45589</v>
      </c>
      <c r="W25">
        <v>2.92</v>
      </c>
      <c r="Y25" s="3" t="s">
        <v>131</v>
      </c>
      <c r="Z25">
        <v>2.3809999999999998</v>
      </c>
      <c r="AA25">
        <v>2.3919999999999999</v>
      </c>
      <c r="AC25" s="12" t="s">
        <v>132</v>
      </c>
      <c r="AF25" s="12" t="s">
        <v>133</v>
      </c>
    </row>
    <row r="26" spans="1:32" x14ac:dyDescent="0.35">
      <c r="A26" t="s">
        <v>616</v>
      </c>
      <c r="B26" t="s">
        <v>134</v>
      </c>
      <c r="C26" s="3">
        <v>45617</v>
      </c>
      <c r="D26" s="3">
        <v>47357</v>
      </c>
      <c r="E26" s="3">
        <v>47448</v>
      </c>
      <c r="F26">
        <v>0.898809144</v>
      </c>
      <c r="K26" t="s">
        <v>94</v>
      </c>
      <c r="L26" t="s">
        <v>605</v>
      </c>
      <c r="O26" s="7"/>
      <c r="R26" s="3">
        <v>45588</v>
      </c>
      <c r="S26">
        <v>2.2669999999999999</v>
      </c>
      <c r="T26">
        <v>2.2770000000000001</v>
      </c>
      <c r="V26" s="3">
        <v>45588</v>
      </c>
      <c r="W26">
        <v>2.972</v>
      </c>
      <c r="Y26" s="3" t="s">
        <v>135</v>
      </c>
      <c r="Z26">
        <v>2.371</v>
      </c>
      <c r="AA26">
        <v>2.3820000000000001</v>
      </c>
      <c r="AC26" s="12" t="s">
        <v>136</v>
      </c>
      <c r="AF26" s="12" t="s">
        <v>137</v>
      </c>
    </row>
    <row r="27" spans="1:32" x14ac:dyDescent="0.35">
      <c r="A27" t="s">
        <v>617</v>
      </c>
      <c r="B27" t="s">
        <v>138</v>
      </c>
      <c r="C27" s="3">
        <v>45617</v>
      </c>
      <c r="D27" s="3">
        <v>47448</v>
      </c>
      <c r="E27" s="3">
        <v>47539</v>
      </c>
      <c r="F27">
        <v>0.89366293200000002</v>
      </c>
      <c r="O27" s="7"/>
      <c r="R27" s="3">
        <v>45587</v>
      </c>
      <c r="S27">
        <v>2.2570000000000001</v>
      </c>
      <c r="T27">
        <v>2.298</v>
      </c>
      <c r="V27" s="3">
        <v>45587</v>
      </c>
      <c r="W27">
        <v>2.9540000000000002</v>
      </c>
      <c r="Y27" s="3" t="s">
        <v>139</v>
      </c>
      <c r="Z27">
        <v>2.3580000000000001</v>
      </c>
      <c r="AA27">
        <v>2.3690000000000002</v>
      </c>
      <c r="AC27" s="12" t="s">
        <v>140</v>
      </c>
      <c r="AF27" s="12" t="s">
        <v>141</v>
      </c>
    </row>
    <row r="28" spans="1:32" x14ac:dyDescent="0.35">
      <c r="A28" t="s">
        <v>618</v>
      </c>
      <c r="B28" t="s">
        <v>142</v>
      </c>
      <c r="C28" s="3">
        <v>45617</v>
      </c>
      <c r="D28" s="3">
        <v>47539</v>
      </c>
      <c r="E28" s="3">
        <v>47630</v>
      </c>
      <c r="F28">
        <v>0.88852671000000005</v>
      </c>
      <c r="O28" s="7"/>
      <c r="R28" s="3">
        <v>45586</v>
      </c>
      <c r="S28">
        <v>2.2850000000000001</v>
      </c>
      <c r="T28">
        <v>2.2949999999999999</v>
      </c>
      <c r="V28" s="3">
        <v>45586</v>
      </c>
      <c r="W28">
        <v>2.972</v>
      </c>
      <c r="Y28" s="3" t="s">
        <v>143</v>
      </c>
      <c r="Z28">
        <v>2.319</v>
      </c>
      <c r="AA28">
        <v>2.359</v>
      </c>
      <c r="AC28" s="12" t="s">
        <v>144</v>
      </c>
      <c r="AF28" s="12" t="s">
        <v>145</v>
      </c>
    </row>
    <row r="29" spans="1:32" x14ac:dyDescent="0.35">
      <c r="A29" t="s">
        <v>619</v>
      </c>
      <c r="B29" t="s">
        <v>146</v>
      </c>
      <c r="C29" s="3">
        <v>45617</v>
      </c>
      <c r="D29" s="3">
        <v>47630</v>
      </c>
      <c r="E29" s="3">
        <v>47721</v>
      </c>
      <c r="F29">
        <v>0.88339838500000001</v>
      </c>
      <c r="O29" s="7"/>
      <c r="R29" s="3">
        <v>45583</v>
      </c>
      <c r="S29">
        <v>2.218</v>
      </c>
      <c r="T29">
        <v>2.2280000000000002</v>
      </c>
      <c r="V29" s="3">
        <v>45583</v>
      </c>
      <c r="W29">
        <v>3.028</v>
      </c>
      <c r="Y29" s="3" t="s">
        <v>147</v>
      </c>
      <c r="Z29">
        <v>2.3199999999999998</v>
      </c>
      <c r="AA29">
        <v>2.33</v>
      </c>
      <c r="AC29" s="12" t="s">
        <v>148</v>
      </c>
      <c r="AF29" s="12" t="s">
        <v>149</v>
      </c>
    </row>
    <row r="30" spans="1:32" x14ac:dyDescent="0.35">
      <c r="A30" t="s">
        <v>620</v>
      </c>
      <c r="B30" t="s">
        <v>150</v>
      </c>
      <c r="C30" s="3">
        <v>45617</v>
      </c>
      <c r="D30" s="3">
        <v>47721</v>
      </c>
      <c r="E30" s="3">
        <v>47812</v>
      </c>
      <c r="F30">
        <v>0.87827547399999994</v>
      </c>
      <c r="O30" s="7"/>
      <c r="R30" s="3">
        <v>45582</v>
      </c>
      <c r="S30">
        <v>2.25</v>
      </c>
      <c r="T30">
        <v>2.2599999999999998</v>
      </c>
      <c r="V30" s="3">
        <v>45582</v>
      </c>
      <c r="W30">
        <v>3.036</v>
      </c>
      <c r="Y30" s="3" t="s">
        <v>151</v>
      </c>
      <c r="Z30">
        <v>2.286</v>
      </c>
      <c r="AA30">
        <v>2.3260000000000001</v>
      </c>
      <c r="AF30" s="12" t="s">
        <v>152</v>
      </c>
    </row>
    <row r="31" spans="1:32" x14ac:dyDescent="0.35">
      <c r="A31" t="s">
        <v>621</v>
      </c>
      <c r="B31" t="s">
        <v>153</v>
      </c>
      <c r="C31" s="3">
        <v>45617</v>
      </c>
      <c r="D31" s="3">
        <v>47812</v>
      </c>
      <c r="E31" s="3">
        <v>47904</v>
      </c>
      <c r="F31">
        <v>0.87315549299999995</v>
      </c>
      <c r="O31" s="7"/>
      <c r="R31" s="3">
        <v>45581</v>
      </c>
      <c r="S31">
        <v>2.2789999999999999</v>
      </c>
      <c r="T31">
        <v>2.2890000000000001</v>
      </c>
      <c r="V31" s="3">
        <v>45581</v>
      </c>
      <c r="W31">
        <v>3.0470000000000002</v>
      </c>
      <c r="Y31" s="3" t="s">
        <v>154</v>
      </c>
      <c r="Z31">
        <v>2.2629999999999999</v>
      </c>
      <c r="AA31">
        <v>2.3029999999999999</v>
      </c>
      <c r="AF31" s="12" t="s">
        <v>155</v>
      </c>
    </row>
    <row r="32" spans="1:32" x14ac:dyDescent="0.35">
      <c r="A32" t="s">
        <v>622</v>
      </c>
      <c r="B32" t="s">
        <v>156</v>
      </c>
      <c r="C32" s="3">
        <v>45617</v>
      </c>
      <c r="D32" s="3">
        <v>47904</v>
      </c>
      <c r="E32" s="3">
        <v>47994</v>
      </c>
      <c r="F32">
        <v>0.86798115600000003</v>
      </c>
      <c r="O32" s="7"/>
      <c r="R32" s="3">
        <v>45580</v>
      </c>
      <c r="S32">
        <v>2.3220000000000001</v>
      </c>
      <c r="T32">
        <v>2.3260000000000001</v>
      </c>
      <c r="V32" s="3">
        <v>45580</v>
      </c>
      <c r="W32">
        <v>3.0569999999999999</v>
      </c>
      <c r="Y32" s="3" t="s">
        <v>157</v>
      </c>
      <c r="Z32">
        <v>2.2400000000000002</v>
      </c>
      <c r="AA32">
        <v>2.2799999999999998</v>
      </c>
      <c r="AF32" s="12" t="s">
        <v>158</v>
      </c>
    </row>
    <row r="33" spans="1:32" x14ac:dyDescent="0.35">
      <c r="A33" t="s">
        <v>623</v>
      </c>
      <c r="B33" t="s">
        <v>159</v>
      </c>
      <c r="C33" s="3">
        <v>45617</v>
      </c>
      <c r="D33" s="3">
        <v>47994</v>
      </c>
      <c r="E33" s="3">
        <v>48085</v>
      </c>
      <c r="F33">
        <v>0.86292571100000004</v>
      </c>
      <c r="O33" s="7"/>
      <c r="R33" s="3">
        <v>45579</v>
      </c>
      <c r="S33">
        <v>2.375</v>
      </c>
      <c r="T33">
        <v>2.3849999999999998</v>
      </c>
      <c r="V33" s="3">
        <v>45579</v>
      </c>
      <c r="W33">
        <v>3.0619999999999998</v>
      </c>
      <c r="Y33" s="3" t="s">
        <v>160</v>
      </c>
      <c r="Z33">
        <v>2.2170000000000001</v>
      </c>
      <c r="AA33">
        <v>2.2570000000000001</v>
      </c>
      <c r="AF33" s="12" t="s">
        <v>161</v>
      </c>
    </row>
    <row r="34" spans="1:32" x14ac:dyDescent="0.35">
      <c r="A34" t="s">
        <v>624</v>
      </c>
      <c r="B34" t="s">
        <v>162</v>
      </c>
      <c r="C34" s="3">
        <v>45617</v>
      </c>
      <c r="D34" s="3">
        <v>48085</v>
      </c>
      <c r="E34" s="3">
        <v>48177</v>
      </c>
      <c r="F34">
        <v>0.85782651099999996</v>
      </c>
      <c r="H34" s="12" t="s">
        <v>163</v>
      </c>
      <c r="I34">
        <v>21</v>
      </c>
      <c r="K34" t="s">
        <v>164</v>
      </c>
      <c r="L34">
        <v>90</v>
      </c>
      <c r="O34" s="7"/>
      <c r="R34" s="3">
        <v>45576</v>
      </c>
      <c r="S34">
        <v>2.3580000000000001</v>
      </c>
      <c r="T34">
        <v>2.3679999999999999</v>
      </c>
      <c r="V34" s="3">
        <v>45576</v>
      </c>
      <c r="W34">
        <v>3.0640000000000001</v>
      </c>
      <c r="Y34" s="3" t="s">
        <v>165</v>
      </c>
      <c r="Z34">
        <v>2.2090000000000001</v>
      </c>
      <c r="AA34">
        <v>2.2200000000000002</v>
      </c>
      <c r="AF34" s="12" t="s">
        <v>166</v>
      </c>
    </row>
    <row r="35" spans="1:32" x14ac:dyDescent="0.35">
      <c r="A35" t="s">
        <v>625</v>
      </c>
      <c r="B35" t="s">
        <v>167</v>
      </c>
      <c r="C35" s="3">
        <v>45617</v>
      </c>
      <c r="D35" s="3">
        <v>48177</v>
      </c>
      <c r="E35" s="3">
        <v>48269</v>
      </c>
      <c r="F35">
        <v>0.85269007699999999</v>
      </c>
      <c r="L35" t="s">
        <v>168</v>
      </c>
      <c r="O35" s="7"/>
      <c r="R35" s="3">
        <v>45575</v>
      </c>
      <c r="S35">
        <v>2.3690000000000002</v>
      </c>
      <c r="T35">
        <v>2.379</v>
      </c>
      <c r="V35" s="3">
        <v>45575</v>
      </c>
      <c r="W35">
        <v>3.0550000000000002</v>
      </c>
      <c r="Y35" s="3" t="s">
        <v>169</v>
      </c>
      <c r="Z35">
        <v>2.1709999999999998</v>
      </c>
      <c r="AA35">
        <v>2.2109999999999999</v>
      </c>
      <c r="AF35" s="12" t="s">
        <v>170</v>
      </c>
    </row>
    <row r="36" spans="1:32" ht="18.5" x14ac:dyDescent="0.45">
      <c r="A36" t="s">
        <v>626</v>
      </c>
      <c r="B36" t="s">
        <v>171</v>
      </c>
      <c r="C36" s="3">
        <v>45617</v>
      </c>
      <c r="D36" s="3">
        <v>48269</v>
      </c>
      <c r="E36" s="3">
        <v>48359</v>
      </c>
      <c r="F36">
        <v>0.84757642899999996</v>
      </c>
      <c r="H36" t="s">
        <v>627</v>
      </c>
      <c r="I36" s="3"/>
      <c r="K36" t="s">
        <v>628</v>
      </c>
      <c r="L36" s="92">
        <v>46001</v>
      </c>
      <c r="M36" s="3"/>
      <c r="O36" s="7"/>
      <c r="R36" s="3">
        <v>45574</v>
      </c>
      <c r="S36">
        <v>2.415</v>
      </c>
      <c r="T36">
        <v>2.4249999999999998</v>
      </c>
      <c r="V36" s="3">
        <v>45574</v>
      </c>
      <c r="W36">
        <v>3.0470000000000002</v>
      </c>
      <c r="Y36" s="3" t="s">
        <v>172</v>
      </c>
      <c r="Z36">
        <v>2.149</v>
      </c>
      <c r="AA36">
        <v>2.1890000000000001</v>
      </c>
      <c r="AF36" s="12" t="s">
        <v>173</v>
      </c>
    </row>
    <row r="37" spans="1:32" ht="18.5" x14ac:dyDescent="0.45">
      <c r="A37" t="s">
        <v>629</v>
      </c>
      <c r="B37" t="s">
        <v>174</v>
      </c>
      <c r="C37" s="3">
        <v>45617</v>
      </c>
      <c r="D37" s="3">
        <v>48359</v>
      </c>
      <c r="E37" s="3">
        <v>48451</v>
      </c>
      <c r="F37">
        <v>0.84259090999999997</v>
      </c>
      <c r="H37" t="s">
        <v>630</v>
      </c>
      <c r="I37" s="3"/>
      <c r="K37" t="s">
        <v>630</v>
      </c>
      <c r="L37" s="92">
        <v>46366</v>
      </c>
      <c r="M37" s="3"/>
      <c r="O37" s="7"/>
      <c r="R37" s="3">
        <v>45573</v>
      </c>
      <c r="S37">
        <v>2.3860000000000001</v>
      </c>
      <c r="T37">
        <v>2.3959999999999999</v>
      </c>
      <c r="V37" s="3">
        <v>45573</v>
      </c>
      <c r="W37">
        <v>3.0579999999999998</v>
      </c>
      <c r="Y37" s="13" t="s">
        <v>175</v>
      </c>
      <c r="Z37">
        <v>2.1280000000000001</v>
      </c>
      <c r="AA37">
        <v>2.1680000000000001</v>
      </c>
      <c r="AF37" s="12" t="s">
        <v>176</v>
      </c>
    </row>
    <row r="38" spans="1:32" x14ac:dyDescent="0.35">
      <c r="A38" t="s">
        <v>631</v>
      </c>
      <c r="B38" t="s">
        <v>177</v>
      </c>
      <c r="C38" s="3">
        <v>45617</v>
      </c>
      <c r="D38" s="3">
        <v>48451</v>
      </c>
      <c r="E38" s="3">
        <v>48543</v>
      </c>
      <c r="F38">
        <v>0.83750446599999995</v>
      </c>
      <c r="H38" s="12" t="s">
        <v>178</v>
      </c>
      <c r="I38" s="3"/>
      <c r="K38" s="12" t="s">
        <v>178</v>
      </c>
      <c r="L38" s="3"/>
      <c r="M38" s="3"/>
      <c r="O38" s="7"/>
      <c r="R38" s="3">
        <v>45572</v>
      </c>
      <c r="S38">
        <v>2.4169999999999998</v>
      </c>
      <c r="T38">
        <v>2.427</v>
      </c>
      <c r="V38" s="3">
        <v>45572</v>
      </c>
      <c r="W38">
        <v>3.048</v>
      </c>
      <c r="Y38" s="13" t="s">
        <v>179</v>
      </c>
      <c r="Z38">
        <v>2.1080000000000001</v>
      </c>
      <c r="AA38">
        <v>2.1480000000000001</v>
      </c>
      <c r="AF38" s="12" t="s">
        <v>180</v>
      </c>
    </row>
    <row r="39" spans="1:32" x14ac:dyDescent="0.35">
      <c r="A39" t="s">
        <v>632</v>
      </c>
      <c r="B39" t="s">
        <v>181</v>
      </c>
      <c r="C39" s="3">
        <v>45617</v>
      </c>
      <c r="D39" s="3">
        <v>48543</v>
      </c>
      <c r="E39" s="3">
        <v>48635</v>
      </c>
      <c r="F39">
        <v>0.83242043399999999</v>
      </c>
      <c r="H39" s="12" t="s">
        <v>8</v>
      </c>
      <c r="I39" s="3"/>
      <c r="K39" s="12" t="s">
        <v>8</v>
      </c>
      <c r="L39" s="3"/>
      <c r="M39" s="3"/>
      <c r="O39" s="7"/>
      <c r="R39" s="3">
        <v>45569</v>
      </c>
      <c r="S39">
        <v>2.355</v>
      </c>
      <c r="T39">
        <v>2.3650000000000002</v>
      </c>
      <c r="V39" s="3">
        <v>45569</v>
      </c>
      <c r="W39">
        <v>3.0459999999999998</v>
      </c>
      <c r="Y39" s="13" t="s">
        <v>182</v>
      </c>
      <c r="Z39">
        <v>2.0880000000000001</v>
      </c>
      <c r="AA39">
        <v>2.1280000000000001</v>
      </c>
      <c r="AF39" s="12" t="s">
        <v>183</v>
      </c>
    </row>
    <row r="40" spans="1:32" x14ac:dyDescent="0.35">
      <c r="A40" t="s">
        <v>633</v>
      </c>
      <c r="B40" t="s">
        <v>184</v>
      </c>
      <c r="C40" s="3">
        <v>45617</v>
      </c>
      <c r="D40" s="3">
        <v>48635</v>
      </c>
      <c r="E40" s="3">
        <v>48724</v>
      </c>
      <c r="F40">
        <v>0.82733357699999999</v>
      </c>
      <c r="H40" s="12" t="s">
        <v>185</v>
      </c>
      <c r="I40" s="3"/>
      <c r="K40" s="12" t="s">
        <v>185</v>
      </c>
      <c r="L40" s="3"/>
      <c r="M40" s="3"/>
      <c r="O40" s="7"/>
      <c r="R40" s="3">
        <v>45568</v>
      </c>
      <c r="S40">
        <v>2.2389999999999999</v>
      </c>
      <c r="T40">
        <v>2.2490000000000001</v>
      </c>
      <c r="V40" s="3">
        <v>45568</v>
      </c>
      <c r="W40">
        <v>3.0710000000000002</v>
      </c>
      <c r="Y40" s="13" t="s">
        <v>186</v>
      </c>
      <c r="Z40">
        <v>1.907</v>
      </c>
      <c r="AA40">
        <v>1.9470000000000001</v>
      </c>
      <c r="AF40" s="12" t="s">
        <v>187</v>
      </c>
    </row>
    <row r="41" spans="1:32" x14ac:dyDescent="0.35">
      <c r="A41" t="s">
        <v>634</v>
      </c>
      <c r="B41" t="s">
        <v>188</v>
      </c>
      <c r="C41" s="3">
        <v>45617</v>
      </c>
      <c r="D41" s="3">
        <v>48724</v>
      </c>
      <c r="E41" s="3">
        <v>48816</v>
      </c>
      <c r="F41">
        <v>0.82241389799999998</v>
      </c>
      <c r="H41" s="12" t="s">
        <v>189</v>
      </c>
      <c r="I41" s="3"/>
      <c r="K41" s="12" t="s">
        <v>190</v>
      </c>
      <c r="L41" s="3"/>
      <c r="M41" s="3"/>
      <c r="O41" s="7"/>
      <c r="R41" s="3">
        <v>45567</v>
      </c>
      <c r="S41">
        <v>2.1960000000000002</v>
      </c>
      <c r="T41">
        <v>2.206</v>
      </c>
      <c r="V41" s="3">
        <v>45567</v>
      </c>
      <c r="W41">
        <v>3.0920000000000001</v>
      </c>
      <c r="Y41" s="13" t="s">
        <v>191</v>
      </c>
      <c r="Z41">
        <v>1.74</v>
      </c>
      <c r="AA41">
        <v>1.78</v>
      </c>
      <c r="AF41" s="12" t="s">
        <v>192</v>
      </c>
    </row>
    <row r="42" spans="1:32" x14ac:dyDescent="0.35">
      <c r="A42" t="s">
        <v>635</v>
      </c>
      <c r="B42" t="s">
        <v>193</v>
      </c>
      <c r="C42" s="3">
        <v>45617</v>
      </c>
      <c r="D42" s="3">
        <v>48816</v>
      </c>
      <c r="E42" s="3">
        <v>48908</v>
      </c>
      <c r="F42">
        <v>0.81733619400000002</v>
      </c>
      <c r="H42" s="12" t="s">
        <v>194</v>
      </c>
      <c r="I42" s="3"/>
      <c r="K42" s="12" t="s">
        <v>189</v>
      </c>
      <c r="L42" s="3"/>
      <c r="M42" s="3"/>
      <c r="O42" s="7"/>
      <c r="R42" s="3">
        <v>45566</v>
      </c>
      <c r="S42">
        <v>2.1480000000000001</v>
      </c>
      <c r="T42">
        <v>2.1579999999999999</v>
      </c>
      <c r="V42" s="3">
        <v>45566</v>
      </c>
      <c r="W42">
        <v>3.0920000000000001</v>
      </c>
      <c r="Y42" s="3"/>
      <c r="AF42" s="12" t="s">
        <v>195</v>
      </c>
    </row>
    <row r="43" spans="1:32" x14ac:dyDescent="0.35">
      <c r="A43" t="s">
        <v>636</v>
      </c>
      <c r="B43" t="s">
        <v>196</v>
      </c>
      <c r="C43" s="3">
        <v>45617</v>
      </c>
      <c r="D43" s="3">
        <v>48908</v>
      </c>
      <c r="E43" s="3">
        <v>49002</v>
      </c>
      <c r="F43">
        <v>0.812272997</v>
      </c>
      <c r="H43" s="13" t="s">
        <v>197</v>
      </c>
      <c r="I43" s="3"/>
      <c r="K43" s="12" t="s">
        <v>194</v>
      </c>
      <c r="L43" s="3"/>
      <c r="M43" s="3"/>
      <c r="O43" s="7"/>
      <c r="R43" s="3">
        <v>45565</v>
      </c>
      <c r="S43">
        <v>2.2080000000000002</v>
      </c>
      <c r="T43">
        <v>2.218</v>
      </c>
      <c r="V43" s="3">
        <v>45565</v>
      </c>
      <c r="W43">
        <v>3.105</v>
      </c>
      <c r="Y43" s="3"/>
      <c r="AF43" s="12" t="s">
        <v>198</v>
      </c>
    </row>
    <row r="44" spans="1:32" x14ac:dyDescent="0.35">
      <c r="A44" t="s">
        <v>637</v>
      </c>
      <c r="B44" t="s">
        <v>199</v>
      </c>
      <c r="C44" s="3">
        <v>45617</v>
      </c>
      <c r="D44" s="3">
        <v>49002</v>
      </c>
      <c r="E44" s="3">
        <v>49089</v>
      </c>
      <c r="F44">
        <v>0.807120807</v>
      </c>
      <c r="H44" s="13" t="s">
        <v>200</v>
      </c>
      <c r="I44" s="3"/>
      <c r="K44" s="12" t="s">
        <v>197</v>
      </c>
      <c r="L44" s="3"/>
      <c r="M44" s="3"/>
      <c r="O44" s="7"/>
      <c r="R44" s="3">
        <v>45562</v>
      </c>
      <c r="S44">
        <v>2.226</v>
      </c>
      <c r="T44">
        <v>2.2360000000000002</v>
      </c>
      <c r="V44" s="3">
        <v>45562</v>
      </c>
      <c r="W44">
        <v>3.1520000000000001</v>
      </c>
      <c r="Y44" s="3"/>
      <c r="AF44" t="s">
        <v>201</v>
      </c>
    </row>
    <row r="45" spans="1:32" x14ac:dyDescent="0.35">
      <c r="A45" t="s">
        <v>638</v>
      </c>
      <c r="B45" t="s">
        <v>202</v>
      </c>
      <c r="C45" s="3">
        <v>45617</v>
      </c>
      <c r="D45" s="3">
        <v>49089</v>
      </c>
      <c r="E45" s="3">
        <v>49181</v>
      </c>
      <c r="F45">
        <v>0.80237387000000004</v>
      </c>
      <c r="H45" s="13" t="s">
        <v>203</v>
      </c>
      <c r="I45" s="3"/>
      <c r="K45" s="12" t="s">
        <v>204</v>
      </c>
      <c r="L45" s="3"/>
      <c r="M45" s="3"/>
      <c r="O45" s="7"/>
      <c r="R45" s="3">
        <v>45561</v>
      </c>
      <c r="S45">
        <v>2.2759999999999998</v>
      </c>
      <c r="T45">
        <v>2.286</v>
      </c>
      <c r="V45" s="3">
        <v>45561</v>
      </c>
      <c r="W45">
        <v>3.1619999999999999</v>
      </c>
      <c r="Y45" s="3"/>
      <c r="AF45" t="s">
        <v>205</v>
      </c>
    </row>
    <row r="46" spans="1:32" x14ac:dyDescent="0.35">
      <c r="A46" t="s">
        <v>639</v>
      </c>
      <c r="B46" t="s">
        <v>206</v>
      </c>
      <c r="C46" s="3">
        <v>45617</v>
      </c>
      <c r="D46" s="3">
        <v>49181</v>
      </c>
      <c r="E46" s="3">
        <v>49275</v>
      </c>
      <c r="F46">
        <v>0.79737866700000004</v>
      </c>
      <c r="H46" s="13" t="s">
        <v>207</v>
      </c>
      <c r="I46" s="3"/>
      <c r="K46" s="12" t="s">
        <v>200</v>
      </c>
      <c r="L46" s="3"/>
      <c r="M46" s="3"/>
      <c r="O46" s="7"/>
      <c r="R46" s="3">
        <v>45560</v>
      </c>
      <c r="S46">
        <v>2.2669999999999999</v>
      </c>
      <c r="T46">
        <v>2.2770000000000001</v>
      </c>
      <c r="V46" s="3">
        <v>45560</v>
      </c>
      <c r="W46">
        <v>3.1549999999999998</v>
      </c>
      <c r="Y46" s="3"/>
      <c r="AF46" t="s">
        <v>208</v>
      </c>
    </row>
    <row r="47" spans="1:32" x14ac:dyDescent="0.35">
      <c r="A47" t="s">
        <v>640</v>
      </c>
      <c r="B47" t="s">
        <v>209</v>
      </c>
      <c r="C47" s="3">
        <v>45617</v>
      </c>
      <c r="D47" s="3">
        <v>49275</v>
      </c>
      <c r="E47" s="3">
        <v>49639</v>
      </c>
      <c r="F47">
        <v>0.79230303800000002</v>
      </c>
      <c r="H47" s="13" t="s">
        <v>210</v>
      </c>
      <c r="I47" s="3"/>
      <c r="K47" s="12" t="s">
        <v>203</v>
      </c>
      <c r="L47" s="3"/>
      <c r="M47" s="3"/>
      <c r="O47" s="7"/>
      <c r="R47" s="3">
        <v>45559</v>
      </c>
      <c r="S47">
        <v>2.2509999999999999</v>
      </c>
      <c r="T47">
        <v>2.2549999999999999</v>
      </c>
      <c r="V47" s="3">
        <v>45559</v>
      </c>
      <c r="W47">
        <v>3.1960000000000002</v>
      </c>
      <c r="Y47" s="3"/>
      <c r="AF47" t="s">
        <v>211</v>
      </c>
    </row>
    <row r="48" spans="1:32" x14ac:dyDescent="0.35">
      <c r="A48" t="s">
        <v>641</v>
      </c>
      <c r="B48" t="s">
        <v>212</v>
      </c>
      <c r="C48" s="3" t="s">
        <v>642</v>
      </c>
      <c r="D48" s="3" t="s">
        <v>642</v>
      </c>
      <c r="E48" s="3">
        <v>49639</v>
      </c>
      <c r="F48" t="s">
        <v>642</v>
      </c>
      <c r="H48" s="13" t="s">
        <v>213</v>
      </c>
      <c r="I48" s="3"/>
      <c r="K48" s="12" t="s">
        <v>207</v>
      </c>
      <c r="L48" s="3"/>
      <c r="M48" s="3"/>
      <c r="O48" s="7"/>
      <c r="R48" s="3">
        <v>45558</v>
      </c>
      <c r="S48">
        <v>2.2879999999999998</v>
      </c>
      <c r="T48">
        <v>2.298</v>
      </c>
      <c r="V48" s="3">
        <v>45558</v>
      </c>
      <c r="W48">
        <v>3.2120000000000002</v>
      </c>
      <c r="Y48" s="3"/>
      <c r="AF48" t="s">
        <v>214</v>
      </c>
    </row>
    <row r="49" spans="1:32" x14ac:dyDescent="0.35">
      <c r="A49" t="s">
        <v>643</v>
      </c>
      <c r="B49" t="s">
        <v>215</v>
      </c>
      <c r="C49" s="3" t="s">
        <v>642</v>
      </c>
      <c r="D49" s="3" t="s">
        <v>642</v>
      </c>
      <c r="E49" s="3">
        <v>49639</v>
      </c>
      <c r="F49" t="s">
        <v>642</v>
      </c>
      <c r="H49" s="13" t="s">
        <v>216</v>
      </c>
      <c r="I49" s="3"/>
      <c r="K49" s="12" t="s">
        <v>210</v>
      </c>
      <c r="L49" s="3"/>
      <c r="M49" s="3"/>
      <c r="O49" s="7"/>
      <c r="R49" s="3">
        <v>45555</v>
      </c>
      <c r="S49">
        <v>2.34</v>
      </c>
      <c r="T49">
        <v>2.35</v>
      </c>
      <c r="V49" s="3">
        <v>45555</v>
      </c>
      <c r="W49">
        <v>3.1840000000000002</v>
      </c>
      <c r="Y49" s="3"/>
      <c r="AF49" t="s">
        <v>217</v>
      </c>
    </row>
    <row r="50" spans="1:32" x14ac:dyDescent="0.35">
      <c r="A50" t="s">
        <v>644</v>
      </c>
      <c r="B50" t="s">
        <v>218</v>
      </c>
      <c r="C50" s="3" t="s">
        <v>642</v>
      </c>
      <c r="D50" s="3" t="s">
        <v>642</v>
      </c>
      <c r="E50" s="3">
        <v>49639</v>
      </c>
      <c r="F50" t="s">
        <v>642</v>
      </c>
      <c r="H50" s="13" t="s">
        <v>219</v>
      </c>
      <c r="I50" s="3"/>
      <c r="K50" s="12" t="s">
        <v>213</v>
      </c>
      <c r="L50" s="3"/>
      <c r="M50" s="3"/>
      <c r="O50" s="7"/>
      <c r="R50" s="3">
        <v>45554</v>
      </c>
      <c r="S50">
        <v>2.3580000000000001</v>
      </c>
      <c r="T50">
        <v>2.3679999999999999</v>
      </c>
      <c r="V50" s="3">
        <v>45554</v>
      </c>
      <c r="W50">
        <v>3.2229999999999999</v>
      </c>
      <c r="Y50" s="3"/>
      <c r="AF50" t="s">
        <v>220</v>
      </c>
    </row>
    <row r="51" spans="1:32" x14ac:dyDescent="0.35">
      <c r="A51" t="s">
        <v>645</v>
      </c>
      <c r="B51" t="s">
        <v>221</v>
      </c>
      <c r="C51" s="3">
        <v>45617</v>
      </c>
      <c r="D51" s="3">
        <v>49639</v>
      </c>
      <c r="E51" s="3">
        <v>50004</v>
      </c>
      <c r="F51">
        <v>0.772883494</v>
      </c>
      <c r="H51" s="13" t="s">
        <v>222</v>
      </c>
      <c r="K51" s="12" t="s">
        <v>223</v>
      </c>
      <c r="L51" s="3"/>
      <c r="M51" s="3"/>
      <c r="O51" s="7"/>
      <c r="R51" s="3">
        <v>45553</v>
      </c>
      <c r="S51">
        <v>2.3879999999999999</v>
      </c>
      <c r="T51">
        <v>2.3980000000000001</v>
      </c>
      <c r="V51" s="3">
        <v>45553</v>
      </c>
      <c r="W51">
        <v>3.2389999999999999</v>
      </c>
      <c r="Y51" s="3"/>
      <c r="AF51" t="s">
        <v>224</v>
      </c>
    </row>
    <row r="52" spans="1:32" x14ac:dyDescent="0.35">
      <c r="A52" t="s">
        <v>646</v>
      </c>
      <c r="B52" t="s">
        <v>225</v>
      </c>
      <c r="C52" s="3" t="s">
        <v>642</v>
      </c>
      <c r="D52" s="3" t="s">
        <v>642</v>
      </c>
      <c r="E52" s="3">
        <v>50004</v>
      </c>
      <c r="F52" t="s">
        <v>642</v>
      </c>
      <c r="H52" s="13" t="s">
        <v>226</v>
      </c>
      <c r="K52" s="12" t="s">
        <v>216</v>
      </c>
      <c r="L52" s="3"/>
      <c r="M52" s="3"/>
      <c r="O52" s="7"/>
      <c r="R52" s="3">
        <v>45552</v>
      </c>
      <c r="S52">
        <v>2.35</v>
      </c>
      <c r="T52">
        <v>2.36</v>
      </c>
      <c r="V52" s="3">
        <v>45552</v>
      </c>
      <c r="W52">
        <v>3.2679999999999998</v>
      </c>
      <c r="Y52" s="3"/>
      <c r="AF52" t="s">
        <v>227</v>
      </c>
    </row>
    <row r="53" spans="1:32" x14ac:dyDescent="0.35">
      <c r="A53" t="s">
        <v>647</v>
      </c>
      <c r="B53" t="s">
        <v>228</v>
      </c>
      <c r="C53" s="3" t="s">
        <v>642</v>
      </c>
      <c r="D53" s="3" t="s">
        <v>642</v>
      </c>
      <c r="E53" s="3">
        <v>50004</v>
      </c>
      <c r="F53" t="s">
        <v>642</v>
      </c>
      <c r="H53" s="13" t="s">
        <v>229</v>
      </c>
      <c r="K53" s="12" t="s">
        <v>219</v>
      </c>
      <c r="L53" s="3"/>
      <c r="M53" s="3"/>
      <c r="O53" s="7"/>
      <c r="R53" s="3">
        <v>45551</v>
      </c>
      <c r="S53">
        <v>2.3079999999999998</v>
      </c>
      <c r="T53">
        <v>2.3180000000000001</v>
      </c>
      <c r="V53" s="3">
        <v>45551</v>
      </c>
      <c r="W53">
        <v>3.2850000000000001</v>
      </c>
      <c r="Y53" s="3"/>
      <c r="AF53" t="s">
        <v>230</v>
      </c>
    </row>
    <row r="54" spans="1:32" x14ac:dyDescent="0.35">
      <c r="A54" t="s">
        <v>648</v>
      </c>
      <c r="B54" t="s">
        <v>231</v>
      </c>
      <c r="C54" s="3" t="s">
        <v>642</v>
      </c>
      <c r="D54" s="3" t="s">
        <v>642</v>
      </c>
      <c r="E54" s="3">
        <v>50004</v>
      </c>
      <c r="F54" t="s">
        <v>642</v>
      </c>
      <c r="H54" s="13" t="s">
        <v>232</v>
      </c>
      <c r="K54" s="12" t="s">
        <v>222</v>
      </c>
      <c r="L54" s="3"/>
      <c r="M54" s="3"/>
      <c r="O54" s="7"/>
      <c r="R54" s="3">
        <v>45548</v>
      </c>
      <c r="S54">
        <v>2.3460000000000001</v>
      </c>
      <c r="T54">
        <v>2.3559999999999999</v>
      </c>
      <c r="V54" s="3">
        <v>45548</v>
      </c>
      <c r="W54">
        <v>3.2709999999999999</v>
      </c>
      <c r="Y54" s="3"/>
      <c r="AF54" t="s">
        <v>233</v>
      </c>
    </row>
    <row r="55" spans="1:32" x14ac:dyDescent="0.35">
      <c r="A55" t="s">
        <v>649</v>
      </c>
      <c r="B55" t="s">
        <v>234</v>
      </c>
      <c r="C55" s="3">
        <v>45617</v>
      </c>
      <c r="D55" s="3">
        <v>50004</v>
      </c>
      <c r="E55" s="3">
        <v>50369</v>
      </c>
      <c r="F55">
        <v>0.75370205400000001</v>
      </c>
      <c r="H55" s="13" t="s">
        <v>235</v>
      </c>
      <c r="K55" s="12" t="s">
        <v>236</v>
      </c>
      <c r="L55" s="3"/>
      <c r="M55" s="3"/>
      <c r="O55" s="7"/>
      <c r="R55" s="3">
        <v>45547</v>
      </c>
      <c r="S55">
        <v>2.367</v>
      </c>
      <c r="T55">
        <v>2.3769999999999998</v>
      </c>
      <c r="V55" s="3">
        <v>45547</v>
      </c>
      <c r="W55">
        <v>3.2650000000000001</v>
      </c>
      <c r="Y55" s="3"/>
      <c r="AF55" t="s">
        <v>237</v>
      </c>
    </row>
    <row r="56" spans="1:32" x14ac:dyDescent="0.35">
      <c r="A56" t="s">
        <v>650</v>
      </c>
      <c r="B56" t="s">
        <v>238</v>
      </c>
      <c r="C56" s="3" t="s">
        <v>642</v>
      </c>
      <c r="D56" s="3" t="s">
        <v>642</v>
      </c>
      <c r="E56" s="3">
        <v>50369</v>
      </c>
      <c r="F56" t="s">
        <v>642</v>
      </c>
      <c r="H56" s="13" t="s">
        <v>239</v>
      </c>
      <c r="K56" s="12" t="s">
        <v>240</v>
      </c>
      <c r="L56" s="3"/>
      <c r="M56" s="3"/>
      <c r="O56" s="7"/>
      <c r="R56" s="3">
        <v>45546</v>
      </c>
      <c r="S56">
        <v>2.2999999999999998</v>
      </c>
      <c r="T56">
        <v>2.31</v>
      </c>
      <c r="V56" s="3">
        <v>45546</v>
      </c>
      <c r="W56">
        <v>3.2759999999999998</v>
      </c>
      <c r="Y56" s="3"/>
      <c r="AF56" t="s">
        <v>241</v>
      </c>
    </row>
    <row r="57" spans="1:32" x14ac:dyDescent="0.35">
      <c r="A57" t="s">
        <v>651</v>
      </c>
      <c r="B57" t="s">
        <v>242</v>
      </c>
      <c r="C57" s="3" t="s">
        <v>642</v>
      </c>
      <c r="D57" s="3" t="s">
        <v>642</v>
      </c>
      <c r="E57" s="3">
        <v>50369</v>
      </c>
      <c r="F57" t="s">
        <v>642</v>
      </c>
      <c r="H57" s="13" t="s">
        <v>243</v>
      </c>
      <c r="K57" s="12" t="s">
        <v>226</v>
      </c>
      <c r="L57" s="3"/>
      <c r="M57" s="3"/>
      <c r="O57" s="7"/>
      <c r="R57" s="3">
        <v>45545</v>
      </c>
      <c r="S57">
        <v>2.347</v>
      </c>
      <c r="T57">
        <v>2.351</v>
      </c>
      <c r="V57" s="3">
        <v>45545</v>
      </c>
      <c r="W57">
        <v>3.2930000000000001</v>
      </c>
      <c r="Y57" s="3"/>
      <c r="AF57" t="s">
        <v>244</v>
      </c>
    </row>
    <row r="58" spans="1:32" x14ac:dyDescent="0.35">
      <c r="A58" t="s">
        <v>652</v>
      </c>
      <c r="B58" t="s">
        <v>245</v>
      </c>
      <c r="C58" s="3" t="s">
        <v>642</v>
      </c>
      <c r="D58" s="3" t="s">
        <v>642</v>
      </c>
      <c r="E58" s="3">
        <v>50369</v>
      </c>
      <c r="F58" t="s">
        <v>642</v>
      </c>
      <c r="H58" s="13" t="s">
        <v>10</v>
      </c>
      <c r="K58" s="12" t="s">
        <v>246</v>
      </c>
      <c r="L58" s="3"/>
      <c r="M58" s="3"/>
      <c r="O58" s="6"/>
      <c r="R58" s="3">
        <v>45544</v>
      </c>
      <c r="S58">
        <v>2.3679999999999999</v>
      </c>
      <c r="T58">
        <v>2.3780000000000001</v>
      </c>
      <c r="V58" s="3">
        <v>45544</v>
      </c>
      <c r="W58">
        <v>3.3069999999999999</v>
      </c>
      <c r="Y58" s="3"/>
      <c r="AF58" t="s">
        <v>247</v>
      </c>
    </row>
    <row r="59" spans="1:32" x14ac:dyDescent="0.35">
      <c r="A59" t="s">
        <v>653</v>
      </c>
      <c r="B59" t="s">
        <v>248</v>
      </c>
      <c r="C59" s="3">
        <v>45617</v>
      </c>
      <c r="D59" s="3">
        <v>50369</v>
      </c>
      <c r="E59" s="3">
        <v>50734</v>
      </c>
      <c r="F59">
        <v>0.73514707400000001</v>
      </c>
      <c r="H59" s="3"/>
      <c r="K59" s="12" t="s">
        <v>229</v>
      </c>
      <c r="L59" s="3"/>
      <c r="M59" s="3"/>
      <c r="O59" s="6" t="s">
        <v>249</v>
      </c>
      <c r="R59" s="3">
        <v>45541</v>
      </c>
      <c r="S59">
        <v>2.41</v>
      </c>
      <c r="T59">
        <v>2.42</v>
      </c>
      <c r="V59" s="3">
        <v>45541</v>
      </c>
      <c r="W59">
        <v>3.3460000000000001</v>
      </c>
      <c r="Y59" s="3"/>
      <c r="AF59" t="s">
        <v>250</v>
      </c>
    </row>
    <row r="60" spans="1:32" x14ac:dyDescent="0.35">
      <c r="A60" t="s">
        <v>654</v>
      </c>
      <c r="B60" t="s">
        <v>251</v>
      </c>
      <c r="C60" s="3" t="s">
        <v>642</v>
      </c>
      <c r="D60" s="3" t="s">
        <v>642</v>
      </c>
      <c r="E60" s="3">
        <v>50734</v>
      </c>
      <c r="F60" t="s">
        <v>642</v>
      </c>
      <c r="K60" s="12" t="s">
        <v>232</v>
      </c>
      <c r="L60" s="3"/>
      <c r="M60" s="3"/>
      <c r="O60" s="7">
        <v>45677.583333333336</v>
      </c>
      <c r="P60">
        <v>0.25753424657534246</v>
      </c>
      <c r="R60" s="3">
        <v>45540</v>
      </c>
      <c r="S60">
        <v>2.456</v>
      </c>
      <c r="T60">
        <v>2.46</v>
      </c>
      <c r="V60" s="3">
        <v>45540</v>
      </c>
      <c r="W60">
        <v>3.3639999999999999</v>
      </c>
      <c r="Y60" s="3"/>
      <c r="AF60" t="s">
        <v>252</v>
      </c>
    </row>
    <row r="61" spans="1:32" x14ac:dyDescent="0.35">
      <c r="A61" t="s">
        <v>655</v>
      </c>
      <c r="B61" t="s">
        <v>253</v>
      </c>
      <c r="C61" s="3" t="s">
        <v>642</v>
      </c>
      <c r="D61" s="3" t="s">
        <v>642</v>
      </c>
      <c r="E61" s="3">
        <v>50734</v>
      </c>
      <c r="F61" t="s">
        <v>642</v>
      </c>
      <c r="K61" s="12" t="s">
        <v>254</v>
      </c>
      <c r="L61" s="3"/>
      <c r="M61" s="3"/>
      <c r="O61" s="7">
        <v>45769.625</v>
      </c>
      <c r="P61">
        <v>0.25205479452054796</v>
      </c>
      <c r="R61" s="3">
        <v>45539</v>
      </c>
      <c r="S61">
        <v>2.4689999999999999</v>
      </c>
      <c r="T61">
        <v>2.4790000000000001</v>
      </c>
      <c r="V61" s="3">
        <v>45539</v>
      </c>
      <c r="W61">
        <v>3.379</v>
      </c>
      <c r="Y61" s="3"/>
      <c r="AF61" t="s">
        <v>255</v>
      </c>
    </row>
    <row r="62" spans="1:32" x14ac:dyDescent="0.35">
      <c r="A62" t="s">
        <v>656</v>
      </c>
      <c r="B62" t="s">
        <v>256</v>
      </c>
      <c r="C62" s="3" t="s">
        <v>642</v>
      </c>
      <c r="D62" s="3" t="s">
        <v>642</v>
      </c>
      <c r="E62" s="3">
        <v>50734</v>
      </c>
      <c r="F62" t="s">
        <v>642</v>
      </c>
      <c r="K62" s="12" t="s">
        <v>235</v>
      </c>
      <c r="L62" s="3"/>
      <c r="M62" s="3"/>
      <c r="O62" s="7">
        <v>45856.625</v>
      </c>
      <c r="P62">
        <v>0.23835616438356164</v>
      </c>
      <c r="R62" s="3">
        <v>45538</v>
      </c>
      <c r="S62">
        <v>2.5169999999999999</v>
      </c>
      <c r="T62">
        <v>2.5270000000000001</v>
      </c>
      <c r="V62" s="3">
        <v>45538</v>
      </c>
      <c r="W62">
        <v>3.3809999999999998</v>
      </c>
      <c r="Y62" s="3"/>
      <c r="AF62" t="s">
        <v>257</v>
      </c>
    </row>
    <row r="63" spans="1:32" x14ac:dyDescent="0.35">
      <c r="A63" t="s">
        <v>657</v>
      </c>
      <c r="B63" t="s">
        <v>258</v>
      </c>
      <c r="C63" s="3">
        <v>45617</v>
      </c>
      <c r="D63" s="3">
        <v>50734</v>
      </c>
      <c r="E63" s="3">
        <v>51099</v>
      </c>
      <c r="F63">
        <v>0.71734376700000002</v>
      </c>
      <c r="K63" s="12" t="s">
        <v>259</v>
      </c>
      <c r="L63" s="3"/>
      <c r="M63" s="3"/>
      <c r="O63" s="7">
        <v>45950.625</v>
      </c>
      <c r="P63">
        <v>0.25753424657534246</v>
      </c>
      <c r="R63" s="3">
        <v>45537</v>
      </c>
      <c r="S63">
        <v>2.5609999999999999</v>
      </c>
      <c r="T63">
        <v>2.5649999999999999</v>
      </c>
      <c r="V63" s="3">
        <v>45537</v>
      </c>
      <c r="W63">
        <v>3.351</v>
      </c>
      <c r="Y63" s="3"/>
      <c r="AF63" t="s">
        <v>260</v>
      </c>
    </row>
    <row r="64" spans="1:32" x14ac:dyDescent="0.35">
      <c r="A64" t="s">
        <v>658</v>
      </c>
      <c r="B64" t="s">
        <v>261</v>
      </c>
      <c r="C64" s="3" t="s">
        <v>642</v>
      </c>
      <c r="D64" s="3" t="s">
        <v>642</v>
      </c>
      <c r="E64" s="3">
        <v>51099</v>
      </c>
      <c r="F64" t="s">
        <v>642</v>
      </c>
      <c r="K64" s="12" t="s">
        <v>239</v>
      </c>
      <c r="L64" s="3"/>
      <c r="M64" s="3"/>
      <c r="O64" s="7">
        <v>46041.583333333336</v>
      </c>
      <c r="P64">
        <v>0.24931506849315069</v>
      </c>
      <c r="R64" s="3">
        <v>45534</v>
      </c>
      <c r="S64">
        <v>2.5470000000000002</v>
      </c>
      <c r="T64">
        <v>2.5569999999999999</v>
      </c>
      <c r="V64" s="3">
        <v>45534</v>
      </c>
      <c r="W64">
        <v>3.36</v>
      </c>
      <c r="Y64" s="3"/>
      <c r="AF64" t="s">
        <v>262</v>
      </c>
    </row>
    <row r="65" spans="1:32" x14ac:dyDescent="0.35">
      <c r="A65" t="s">
        <v>659</v>
      </c>
      <c r="B65" t="s">
        <v>263</v>
      </c>
      <c r="C65" s="3" t="s">
        <v>642</v>
      </c>
      <c r="D65" s="3" t="s">
        <v>642</v>
      </c>
      <c r="E65" s="3">
        <v>51099</v>
      </c>
      <c r="F65" t="s">
        <v>642</v>
      </c>
      <c r="K65" s="12" t="s">
        <v>264</v>
      </c>
      <c r="L65" s="3"/>
      <c r="M65" s="3"/>
      <c r="O65" s="7">
        <v>46132.625</v>
      </c>
      <c r="P65">
        <v>0.24931506849315069</v>
      </c>
      <c r="R65" s="3">
        <v>45533</v>
      </c>
      <c r="S65">
        <v>2.5179999999999998</v>
      </c>
      <c r="T65">
        <v>2.528</v>
      </c>
      <c r="V65" s="3">
        <v>45533</v>
      </c>
      <c r="W65">
        <v>3.3759999999999999</v>
      </c>
      <c r="Y65" s="3"/>
      <c r="AF65" t="s">
        <v>265</v>
      </c>
    </row>
    <row r="66" spans="1:32" x14ac:dyDescent="0.35">
      <c r="A66" t="s">
        <v>660</v>
      </c>
      <c r="B66" t="s">
        <v>266</v>
      </c>
      <c r="C66" s="3" t="s">
        <v>642</v>
      </c>
      <c r="D66" s="3" t="s">
        <v>642</v>
      </c>
      <c r="E66" s="3">
        <v>51099</v>
      </c>
      <c r="F66" t="s">
        <v>642</v>
      </c>
      <c r="K66" s="12" t="s">
        <v>243</v>
      </c>
      <c r="L66" s="3"/>
      <c r="M66" s="3"/>
      <c r="O66" s="7">
        <v>46223.625</v>
      </c>
      <c r="P66">
        <v>0.24931506849315069</v>
      </c>
      <c r="R66" s="3">
        <v>45532</v>
      </c>
      <c r="S66">
        <v>2.5350000000000001</v>
      </c>
      <c r="T66">
        <v>2.5449999999999999</v>
      </c>
      <c r="V66" s="3">
        <v>45532</v>
      </c>
      <c r="W66">
        <v>3.391</v>
      </c>
      <c r="Y66" s="3"/>
      <c r="AF66" t="s">
        <v>267</v>
      </c>
    </row>
    <row r="67" spans="1:32" x14ac:dyDescent="0.35">
      <c r="A67" t="s">
        <v>661</v>
      </c>
      <c r="B67" t="s">
        <v>268</v>
      </c>
      <c r="C67" s="3">
        <v>45617</v>
      </c>
      <c r="D67" s="3">
        <v>51099</v>
      </c>
      <c r="E67" s="3">
        <v>52926</v>
      </c>
      <c r="F67">
        <v>0.70036178100000002</v>
      </c>
      <c r="K67" s="12" t="s">
        <v>269</v>
      </c>
      <c r="L67" s="3"/>
      <c r="M67" s="3"/>
      <c r="O67" s="7">
        <v>46314.625</v>
      </c>
      <c r="P67">
        <v>0.24931506849315069</v>
      </c>
      <c r="R67" s="3">
        <v>45531</v>
      </c>
      <c r="S67">
        <v>2.544</v>
      </c>
      <c r="T67">
        <v>2.548</v>
      </c>
      <c r="V67" s="3">
        <v>45531</v>
      </c>
      <c r="W67">
        <v>3.3849999999999998</v>
      </c>
      <c r="Y67" s="3"/>
      <c r="AF67" t="s">
        <v>270</v>
      </c>
    </row>
    <row r="68" spans="1:32" x14ac:dyDescent="0.35">
      <c r="A68" t="s">
        <v>662</v>
      </c>
      <c r="B68" t="s">
        <v>271</v>
      </c>
      <c r="C68" s="3" t="s">
        <v>642</v>
      </c>
      <c r="D68" s="3" t="s">
        <v>642</v>
      </c>
      <c r="E68" s="3">
        <v>52926</v>
      </c>
      <c r="F68" t="s">
        <v>642</v>
      </c>
      <c r="K68" s="12" t="s">
        <v>272</v>
      </c>
      <c r="L68" s="3"/>
      <c r="M68" s="3"/>
      <c r="O68" s="7">
        <v>46405.583333333336</v>
      </c>
      <c r="P68">
        <v>0.24931506849315069</v>
      </c>
      <c r="R68" s="3">
        <v>45530</v>
      </c>
      <c r="S68">
        <v>2.54</v>
      </c>
      <c r="T68">
        <v>2.5499999999999998</v>
      </c>
      <c r="V68" s="3">
        <v>45530</v>
      </c>
      <c r="W68">
        <v>3.4009999999999998</v>
      </c>
      <c r="Y68" s="3"/>
      <c r="AF68" t="s">
        <v>273</v>
      </c>
    </row>
    <row r="69" spans="1:32" x14ac:dyDescent="0.35">
      <c r="A69" t="s">
        <v>663</v>
      </c>
      <c r="B69" t="s">
        <v>274</v>
      </c>
      <c r="C69" s="3" t="s">
        <v>642</v>
      </c>
      <c r="D69" s="3" t="s">
        <v>642</v>
      </c>
      <c r="E69" s="3">
        <v>52926</v>
      </c>
      <c r="F69" t="s">
        <v>642</v>
      </c>
      <c r="K69" s="12" t="s">
        <v>10</v>
      </c>
      <c r="L69" s="3"/>
      <c r="M69" s="3"/>
      <c r="O69" s="7">
        <v>46496.625</v>
      </c>
      <c r="P69">
        <v>0.24931506849315069</v>
      </c>
      <c r="R69" s="3">
        <v>45527</v>
      </c>
      <c r="S69">
        <v>2.5259999999999998</v>
      </c>
      <c r="T69">
        <v>2.536</v>
      </c>
      <c r="V69" s="3">
        <v>45527</v>
      </c>
      <c r="W69">
        <v>3.3820000000000001</v>
      </c>
      <c r="Y69" s="3"/>
      <c r="AF69" t="s">
        <v>275</v>
      </c>
    </row>
    <row r="70" spans="1:32" x14ac:dyDescent="0.35">
      <c r="A70" t="s">
        <v>664</v>
      </c>
      <c r="B70" t="s">
        <v>276</v>
      </c>
      <c r="C70" s="3" t="s">
        <v>642</v>
      </c>
      <c r="D70" s="3" t="s">
        <v>642</v>
      </c>
      <c r="E70" s="3">
        <v>52926</v>
      </c>
      <c r="F70" t="s">
        <v>642</v>
      </c>
      <c r="K70" s="12" t="s">
        <v>277</v>
      </c>
      <c r="L70" s="3"/>
      <c r="M70" s="3"/>
      <c r="O70" s="7">
        <v>46587.625</v>
      </c>
      <c r="P70">
        <v>0.24931506849315069</v>
      </c>
      <c r="R70" s="3">
        <v>45526</v>
      </c>
      <c r="S70">
        <v>2.5590000000000002</v>
      </c>
      <c r="T70">
        <v>2.569</v>
      </c>
      <c r="V70" s="3">
        <v>45526</v>
      </c>
      <c r="W70">
        <v>3.4079999999999999</v>
      </c>
      <c r="Y70" s="3"/>
      <c r="AF70" t="s">
        <v>278</v>
      </c>
    </row>
    <row r="71" spans="1:32" x14ac:dyDescent="0.35">
      <c r="A71" t="s">
        <v>665</v>
      </c>
      <c r="B71" t="s">
        <v>279</v>
      </c>
      <c r="C71" s="3" t="s">
        <v>642</v>
      </c>
      <c r="D71" s="3" t="s">
        <v>642</v>
      </c>
      <c r="E71" s="3">
        <v>52926</v>
      </c>
      <c r="F71" t="s">
        <v>642</v>
      </c>
      <c r="K71" s="12" t="s">
        <v>280</v>
      </c>
      <c r="L71" s="3"/>
      <c r="M71" s="3"/>
      <c r="O71" s="7">
        <v>46678.625</v>
      </c>
      <c r="P71">
        <v>0.24931506849315069</v>
      </c>
      <c r="R71" s="3">
        <v>45525</v>
      </c>
      <c r="S71">
        <v>2.4980000000000002</v>
      </c>
      <c r="T71">
        <v>2.508</v>
      </c>
      <c r="V71" s="3">
        <v>45525</v>
      </c>
      <c r="W71">
        <v>3.41</v>
      </c>
      <c r="Y71" s="3"/>
      <c r="AF71" t="s">
        <v>281</v>
      </c>
    </row>
    <row r="72" spans="1:32" x14ac:dyDescent="0.35">
      <c r="A72" t="s">
        <v>666</v>
      </c>
      <c r="B72" t="s">
        <v>282</v>
      </c>
      <c r="C72" s="3" t="s">
        <v>642</v>
      </c>
      <c r="D72" s="3" t="s">
        <v>642</v>
      </c>
      <c r="E72" s="3">
        <v>52926</v>
      </c>
      <c r="F72" t="s">
        <v>642</v>
      </c>
      <c r="K72" s="12" t="s">
        <v>283</v>
      </c>
      <c r="L72" s="3"/>
      <c r="M72" s="3"/>
      <c r="O72" s="7"/>
      <c r="R72" s="3">
        <v>45524</v>
      </c>
      <c r="S72">
        <v>2.54</v>
      </c>
      <c r="T72">
        <v>2.5499999999999998</v>
      </c>
      <c r="V72" s="3">
        <v>45524</v>
      </c>
      <c r="W72">
        <v>3.407</v>
      </c>
      <c r="Y72" s="3"/>
      <c r="AF72" t="s">
        <v>284</v>
      </c>
    </row>
    <row r="73" spans="1:32" x14ac:dyDescent="0.35">
      <c r="A73" t="s">
        <v>667</v>
      </c>
      <c r="B73" t="s">
        <v>285</v>
      </c>
      <c r="C73" s="3" t="s">
        <v>642</v>
      </c>
      <c r="D73" s="3" t="s">
        <v>642</v>
      </c>
      <c r="E73" s="3">
        <v>52926</v>
      </c>
      <c r="F73" t="s">
        <v>642</v>
      </c>
      <c r="K73" s="12" t="s">
        <v>286</v>
      </c>
      <c r="L73" s="3"/>
      <c r="M73" s="3"/>
      <c r="O73" s="7"/>
      <c r="R73" s="3">
        <v>45523</v>
      </c>
      <c r="S73">
        <v>2.5779999999999998</v>
      </c>
      <c r="T73">
        <v>2.5880000000000001</v>
      </c>
      <c r="V73" s="3">
        <v>45523</v>
      </c>
      <c r="W73">
        <v>3.4079999999999999</v>
      </c>
      <c r="Y73" s="3"/>
      <c r="AF73" t="s">
        <v>287</v>
      </c>
    </row>
    <row r="74" spans="1:32" x14ac:dyDescent="0.35">
      <c r="A74" t="s">
        <v>668</v>
      </c>
      <c r="B74" t="s">
        <v>288</v>
      </c>
      <c r="C74" s="3" t="s">
        <v>642</v>
      </c>
      <c r="D74" s="3" t="s">
        <v>642</v>
      </c>
      <c r="E74" s="3">
        <v>52926</v>
      </c>
      <c r="F74" t="s">
        <v>642</v>
      </c>
      <c r="K74" s="12" t="s">
        <v>289</v>
      </c>
      <c r="L74" s="3"/>
      <c r="M74" s="3"/>
      <c r="O74" s="7"/>
      <c r="R74" s="3">
        <v>45520</v>
      </c>
      <c r="S74">
        <v>2.585</v>
      </c>
      <c r="T74">
        <v>2.5950000000000002</v>
      </c>
      <c r="V74" s="3">
        <v>45520</v>
      </c>
      <c r="W74">
        <v>3.367</v>
      </c>
      <c r="Y74" s="3"/>
      <c r="AF74" t="s">
        <v>290</v>
      </c>
    </row>
    <row r="75" spans="1:32" x14ac:dyDescent="0.35">
      <c r="A75" t="s">
        <v>669</v>
      </c>
      <c r="B75" t="s">
        <v>291</v>
      </c>
      <c r="C75" s="3" t="s">
        <v>642</v>
      </c>
      <c r="D75" s="3" t="s">
        <v>642</v>
      </c>
      <c r="E75" s="3">
        <v>52926</v>
      </c>
      <c r="F75" t="s">
        <v>642</v>
      </c>
      <c r="K75" s="12" t="s">
        <v>292</v>
      </c>
      <c r="L75" s="3"/>
      <c r="M75" s="3"/>
      <c r="O75" s="7"/>
      <c r="R75" s="3">
        <v>45519</v>
      </c>
      <c r="S75">
        <v>2.597</v>
      </c>
      <c r="T75">
        <v>2.6070000000000002</v>
      </c>
      <c r="V75" s="3">
        <v>45519</v>
      </c>
      <c r="W75">
        <v>3.375</v>
      </c>
      <c r="Y75" s="3"/>
      <c r="AF75" t="s">
        <v>293</v>
      </c>
    </row>
    <row r="76" spans="1:32" x14ac:dyDescent="0.35">
      <c r="A76" t="s">
        <v>670</v>
      </c>
      <c r="B76" t="s">
        <v>294</v>
      </c>
      <c r="C76" s="3" t="s">
        <v>642</v>
      </c>
      <c r="D76" s="3" t="s">
        <v>642</v>
      </c>
      <c r="E76" s="3">
        <v>52926</v>
      </c>
      <c r="F76" t="s">
        <v>642</v>
      </c>
      <c r="K76" s="12" t="s">
        <v>295</v>
      </c>
      <c r="L76" s="3"/>
      <c r="M76" s="3"/>
      <c r="O76" s="7"/>
      <c r="R76" s="3">
        <v>45518</v>
      </c>
      <c r="S76">
        <v>2.508</v>
      </c>
      <c r="T76">
        <v>2.5179999999999998</v>
      </c>
      <c r="V76" s="3">
        <v>45518</v>
      </c>
      <c r="W76">
        <v>3.3980000000000001</v>
      </c>
      <c r="Y76" s="3"/>
      <c r="AF76" t="s">
        <v>296</v>
      </c>
    </row>
    <row r="77" spans="1:32" x14ac:dyDescent="0.35">
      <c r="A77" t="s">
        <v>671</v>
      </c>
      <c r="B77" t="s">
        <v>297</v>
      </c>
      <c r="C77" s="3" t="s">
        <v>642</v>
      </c>
      <c r="D77" s="3" t="s">
        <v>642</v>
      </c>
      <c r="E77" s="3">
        <v>52926</v>
      </c>
      <c r="F77" t="s">
        <v>642</v>
      </c>
      <c r="K77" s="12" t="s">
        <v>298</v>
      </c>
      <c r="L77" s="3"/>
      <c r="M77" s="3"/>
      <c r="O77" s="7"/>
      <c r="R77" s="3">
        <v>45517</v>
      </c>
      <c r="S77">
        <v>2.5150000000000001</v>
      </c>
      <c r="T77">
        <v>2.5249999999999999</v>
      </c>
      <c r="V77" s="3">
        <v>45517</v>
      </c>
      <c r="W77">
        <v>3.4409999999999998</v>
      </c>
      <c r="Y77" s="3"/>
      <c r="AF77" t="s">
        <v>299</v>
      </c>
    </row>
    <row r="78" spans="1:32" x14ac:dyDescent="0.35">
      <c r="A78" t="s">
        <v>672</v>
      </c>
      <c r="B78" t="s">
        <v>300</v>
      </c>
      <c r="C78" s="3" t="s">
        <v>642</v>
      </c>
      <c r="D78" s="3" t="s">
        <v>642</v>
      </c>
      <c r="E78" s="3">
        <v>52926</v>
      </c>
      <c r="F78" t="s">
        <v>642</v>
      </c>
      <c r="K78" s="12" t="s">
        <v>301</v>
      </c>
      <c r="L78" s="3"/>
      <c r="M78" s="3"/>
      <c r="O78" s="7"/>
      <c r="R78" s="3">
        <v>45516</v>
      </c>
      <c r="S78">
        <v>2.56</v>
      </c>
      <c r="T78">
        <v>2.57</v>
      </c>
      <c r="V78" s="3">
        <v>45516</v>
      </c>
      <c r="W78">
        <v>3.4449999999999998</v>
      </c>
      <c r="Y78" s="3"/>
      <c r="AF78" t="s">
        <v>302</v>
      </c>
    </row>
    <row r="79" spans="1:32" x14ac:dyDescent="0.35">
      <c r="A79" t="s">
        <v>673</v>
      </c>
      <c r="B79" t="s">
        <v>303</v>
      </c>
      <c r="C79" s="3" t="s">
        <v>642</v>
      </c>
      <c r="D79" s="3" t="s">
        <v>642</v>
      </c>
      <c r="E79" s="3">
        <v>52926</v>
      </c>
      <c r="F79" t="s">
        <v>642</v>
      </c>
      <c r="K79" s="12" t="s">
        <v>304</v>
      </c>
      <c r="L79" s="3"/>
      <c r="M79" s="3"/>
      <c r="O79" s="7"/>
      <c r="R79" s="3">
        <v>45513</v>
      </c>
      <c r="S79">
        <v>2.5670000000000002</v>
      </c>
      <c r="T79">
        <v>2.577</v>
      </c>
      <c r="V79" s="3">
        <v>45513</v>
      </c>
      <c r="W79">
        <v>3.4369999999999998</v>
      </c>
      <c r="Y79" s="3"/>
      <c r="AF79" t="s">
        <v>305</v>
      </c>
    </row>
    <row r="80" spans="1:32" x14ac:dyDescent="0.35">
      <c r="A80" t="s">
        <v>674</v>
      </c>
      <c r="B80" t="s">
        <v>306</v>
      </c>
      <c r="C80" s="3" t="s">
        <v>642</v>
      </c>
      <c r="D80" s="3" t="s">
        <v>642</v>
      </c>
      <c r="E80" s="3">
        <v>52926</v>
      </c>
      <c r="F80" t="s">
        <v>642</v>
      </c>
      <c r="K80" s="12" t="s">
        <v>307</v>
      </c>
      <c r="L80" s="3"/>
      <c r="M80" s="3"/>
      <c r="O80" s="7"/>
      <c r="R80" s="3">
        <v>45512</v>
      </c>
      <c r="S80">
        <v>2.589</v>
      </c>
      <c r="T80">
        <v>2.5990000000000002</v>
      </c>
      <c r="V80" s="3">
        <v>45512</v>
      </c>
      <c r="W80">
        <v>3.488</v>
      </c>
      <c r="Y80" s="3"/>
      <c r="AF80" t="s">
        <v>308</v>
      </c>
    </row>
    <row r="81" spans="1:32" x14ac:dyDescent="0.35">
      <c r="A81" t="s">
        <v>675</v>
      </c>
      <c r="B81" t="s">
        <v>309</v>
      </c>
      <c r="C81" s="3" t="s">
        <v>642</v>
      </c>
      <c r="D81" s="3" t="s">
        <v>642</v>
      </c>
      <c r="E81" s="3">
        <v>52926</v>
      </c>
      <c r="F81" t="s">
        <v>642</v>
      </c>
      <c r="K81" s="12" t="s">
        <v>310</v>
      </c>
      <c r="L81" s="3"/>
      <c r="M81" s="3"/>
      <c r="O81" s="7"/>
      <c r="R81" s="3">
        <v>45511</v>
      </c>
      <c r="S81">
        <v>2.597</v>
      </c>
      <c r="T81">
        <v>2.6070000000000002</v>
      </c>
      <c r="V81" s="3">
        <v>45511</v>
      </c>
      <c r="W81">
        <v>3.4620000000000002</v>
      </c>
      <c r="Y81" s="3"/>
      <c r="AF81" t="s">
        <v>311</v>
      </c>
    </row>
    <row r="82" spans="1:32" x14ac:dyDescent="0.35">
      <c r="A82" t="s">
        <v>676</v>
      </c>
      <c r="B82" t="s">
        <v>312</v>
      </c>
      <c r="C82" s="3" t="s">
        <v>642</v>
      </c>
      <c r="D82" s="3" t="s">
        <v>642</v>
      </c>
      <c r="E82" s="3">
        <v>52926</v>
      </c>
      <c r="F82" t="s">
        <v>642</v>
      </c>
      <c r="K82" s="12" t="s">
        <v>313</v>
      </c>
      <c r="L82" s="3"/>
      <c r="M82" s="3"/>
      <c r="O82" s="7"/>
      <c r="R82" s="3">
        <v>45510</v>
      </c>
      <c r="S82">
        <v>2.5760000000000001</v>
      </c>
      <c r="T82">
        <v>2.5859999999999999</v>
      </c>
      <c r="V82" s="3">
        <v>45510</v>
      </c>
      <c r="W82">
        <v>3.3969999999999998</v>
      </c>
      <c r="Y82" s="3"/>
      <c r="AF82" t="s">
        <v>314</v>
      </c>
    </row>
    <row r="83" spans="1:32" x14ac:dyDescent="0.35">
      <c r="A83" t="s">
        <v>677</v>
      </c>
      <c r="B83" t="s">
        <v>315</v>
      </c>
      <c r="C83" s="3" t="s">
        <v>642</v>
      </c>
      <c r="D83" s="3" t="s">
        <v>642</v>
      </c>
      <c r="E83" s="3">
        <v>52926</v>
      </c>
      <c r="F83" t="s">
        <v>642</v>
      </c>
      <c r="K83" s="12" t="s">
        <v>316</v>
      </c>
      <c r="L83" s="3"/>
      <c r="M83" s="3"/>
      <c r="O83" s="7"/>
      <c r="R83" s="3">
        <v>45509</v>
      </c>
      <c r="S83">
        <v>2.5750000000000002</v>
      </c>
      <c r="T83">
        <v>2.585</v>
      </c>
      <c r="V83" s="3">
        <v>45509</v>
      </c>
      <c r="W83">
        <v>3.4940000000000002</v>
      </c>
      <c r="Y83" s="3"/>
      <c r="AF83" t="s">
        <v>317</v>
      </c>
    </row>
    <row r="84" spans="1:32" x14ac:dyDescent="0.35">
      <c r="A84" t="s">
        <v>678</v>
      </c>
      <c r="B84" t="s">
        <v>318</v>
      </c>
      <c r="C84" s="3" t="s">
        <v>642</v>
      </c>
      <c r="D84" s="3" t="s">
        <v>642</v>
      </c>
      <c r="E84" s="3">
        <v>52926</v>
      </c>
      <c r="F84" t="s">
        <v>642</v>
      </c>
      <c r="K84" s="12" t="s">
        <v>319</v>
      </c>
      <c r="L84" s="3"/>
      <c r="M84" s="3"/>
      <c r="O84" s="7"/>
      <c r="R84" s="3">
        <v>45506</v>
      </c>
      <c r="S84">
        <v>2.5670000000000002</v>
      </c>
      <c r="T84">
        <v>2.577</v>
      </c>
      <c r="V84" s="3">
        <v>45506</v>
      </c>
      <c r="W84">
        <v>3.5529999999999999</v>
      </c>
      <c r="Y84" s="3"/>
      <c r="AF84" t="s">
        <v>320</v>
      </c>
    </row>
    <row r="85" spans="1:32" x14ac:dyDescent="0.35">
      <c r="A85" t="s">
        <v>679</v>
      </c>
      <c r="B85" t="s">
        <v>321</v>
      </c>
      <c r="C85" s="3" t="s">
        <v>642</v>
      </c>
      <c r="D85" s="3" t="s">
        <v>642</v>
      </c>
      <c r="E85" s="3">
        <v>52926</v>
      </c>
      <c r="F85" t="s">
        <v>642</v>
      </c>
      <c r="K85" s="12" t="s">
        <v>322</v>
      </c>
      <c r="L85" s="3"/>
      <c r="M85" s="3"/>
      <c r="O85" s="7"/>
      <c r="R85" s="3">
        <v>45505</v>
      </c>
      <c r="S85">
        <v>2.62</v>
      </c>
      <c r="T85">
        <v>2.63</v>
      </c>
      <c r="V85" s="3">
        <v>45505</v>
      </c>
      <c r="W85">
        <v>3.5630000000000002</v>
      </c>
      <c r="Y85" s="3"/>
      <c r="AF85" t="s">
        <v>323</v>
      </c>
    </row>
    <row r="86" spans="1:32" x14ac:dyDescent="0.35">
      <c r="A86" t="s">
        <v>680</v>
      </c>
      <c r="B86" t="s">
        <v>324</v>
      </c>
      <c r="C86" s="3" t="s">
        <v>642</v>
      </c>
      <c r="D86" s="3" t="s">
        <v>642</v>
      </c>
      <c r="E86" s="3">
        <v>52926</v>
      </c>
      <c r="F86" t="s">
        <v>642</v>
      </c>
      <c r="K86" s="12" t="s">
        <v>325</v>
      </c>
      <c r="L86" s="3"/>
      <c r="M86" s="3"/>
      <c r="O86" s="7"/>
      <c r="R86" s="3">
        <v>45504</v>
      </c>
      <c r="S86">
        <v>2.6869999999999998</v>
      </c>
      <c r="T86">
        <v>2.6970000000000001</v>
      </c>
      <c r="V86" s="3">
        <v>45504</v>
      </c>
      <c r="W86">
        <v>3.5790000000000002</v>
      </c>
      <c r="Y86" s="3"/>
      <c r="AF86" t="s">
        <v>326</v>
      </c>
    </row>
    <row r="87" spans="1:32" x14ac:dyDescent="0.35">
      <c r="A87" t="s">
        <v>681</v>
      </c>
      <c r="B87" t="s">
        <v>327</v>
      </c>
      <c r="C87" s="3">
        <v>45617</v>
      </c>
      <c r="D87" s="3">
        <v>52926</v>
      </c>
      <c r="E87" s="3">
        <v>54752</v>
      </c>
      <c r="F87">
        <v>0.63190342700000002</v>
      </c>
      <c r="K87" s="12" t="s">
        <v>328</v>
      </c>
      <c r="L87" s="3"/>
      <c r="M87" s="3"/>
      <c r="O87" s="7"/>
      <c r="R87" s="3">
        <v>45503</v>
      </c>
      <c r="S87">
        <v>2.7080000000000002</v>
      </c>
      <c r="T87">
        <v>2.718</v>
      </c>
      <c r="V87" s="3">
        <v>45503</v>
      </c>
      <c r="W87">
        <v>3.585</v>
      </c>
      <c r="Y87" s="3"/>
      <c r="AF87" t="s">
        <v>329</v>
      </c>
    </row>
    <row r="88" spans="1:32" x14ac:dyDescent="0.35">
      <c r="A88" t="s">
        <v>682</v>
      </c>
      <c r="B88" t="s">
        <v>330</v>
      </c>
      <c r="C88" s="3" t="s">
        <v>642</v>
      </c>
      <c r="D88" s="3" t="s">
        <v>642</v>
      </c>
      <c r="E88" s="3">
        <v>54752</v>
      </c>
      <c r="F88" t="s">
        <v>642</v>
      </c>
      <c r="K88" s="12" t="s">
        <v>331</v>
      </c>
      <c r="L88" s="3"/>
      <c r="M88" s="3"/>
      <c r="O88" s="7"/>
      <c r="R88" s="3">
        <v>45502</v>
      </c>
      <c r="S88">
        <v>2.7559999999999998</v>
      </c>
      <c r="T88">
        <v>2.766</v>
      </c>
      <c r="V88" s="3">
        <v>45502</v>
      </c>
      <c r="W88">
        <v>3.59</v>
      </c>
      <c r="Y88" s="3"/>
      <c r="AF88" t="s">
        <v>332</v>
      </c>
    </row>
    <row r="89" spans="1:32" x14ac:dyDescent="0.35">
      <c r="A89" t="s">
        <v>683</v>
      </c>
      <c r="B89" t="s">
        <v>333</v>
      </c>
      <c r="C89" s="3" t="s">
        <v>642</v>
      </c>
      <c r="D89" s="3" t="s">
        <v>642</v>
      </c>
      <c r="E89" s="3">
        <v>54752</v>
      </c>
      <c r="F89" t="s">
        <v>642</v>
      </c>
      <c r="K89" s="12" t="s">
        <v>334</v>
      </c>
      <c r="L89" s="3"/>
      <c r="M89" s="3"/>
      <c r="O89" s="7"/>
      <c r="R89" s="3">
        <v>45499</v>
      </c>
      <c r="S89">
        <v>2.7850000000000001</v>
      </c>
      <c r="T89">
        <v>2.7949999999999999</v>
      </c>
      <c r="V89" s="3">
        <v>45499</v>
      </c>
      <c r="W89">
        <v>3.5910000000000002</v>
      </c>
      <c r="Y89" s="3"/>
      <c r="AF89" t="s">
        <v>335</v>
      </c>
    </row>
    <row r="90" spans="1:32" x14ac:dyDescent="0.35">
      <c r="A90" t="s">
        <v>684</v>
      </c>
      <c r="B90" t="s">
        <v>336</v>
      </c>
      <c r="C90" s="3" t="s">
        <v>642</v>
      </c>
      <c r="D90" s="3" t="s">
        <v>642</v>
      </c>
      <c r="E90" s="3">
        <v>54752</v>
      </c>
      <c r="F90" t="s">
        <v>642</v>
      </c>
      <c r="K90" s="12" t="s">
        <v>337</v>
      </c>
      <c r="L90" s="3"/>
      <c r="M90" s="3"/>
      <c r="O90" s="7"/>
      <c r="R90" s="3">
        <v>45498</v>
      </c>
      <c r="S90">
        <v>2.8380000000000001</v>
      </c>
      <c r="T90">
        <v>2.8420000000000001</v>
      </c>
      <c r="V90" s="3">
        <v>45498</v>
      </c>
      <c r="W90">
        <v>3.6190000000000002</v>
      </c>
      <c r="Y90" s="3"/>
      <c r="AF90" t="s">
        <v>338</v>
      </c>
    </row>
    <row r="91" spans="1:32" x14ac:dyDescent="0.35">
      <c r="A91" t="s">
        <v>685</v>
      </c>
      <c r="B91" t="s">
        <v>339</v>
      </c>
      <c r="C91" s="3" t="s">
        <v>642</v>
      </c>
      <c r="D91" s="3" t="s">
        <v>642</v>
      </c>
      <c r="E91" s="3">
        <v>54752</v>
      </c>
      <c r="F91" t="s">
        <v>642</v>
      </c>
      <c r="K91" s="12" t="s">
        <v>340</v>
      </c>
      <c r="L91" s="3"/>
      <c r="M91" s="3"/>
      <c r="O91" s="7"/>
      <c r="R91" s="3">
        <v>45497</v>
      </c>
      <c r="S91">
        <v>2.8279999999999998</v>
      </c>
      <c r="T91">
        <v>2.8380000000000001</v>
      </c>
      <c r="V91" s="3">
        <v>45497</v>
      </c>
      <c r="W91">
        <v>3.6520000000000001</v>
      </c>
      <c r="Y91" s="3"/>
      <c r="AF91" t="s">
        <v>341</v>
      </c>
    </row>
    <row r="92" spans="1:32" x14ac:dyDescent="0.35">
      <c r="A92" t="s">
        <v>686</v>
      </c>
      <c r="B92" t="s">
        <v>342</v>
      </c>
      <c r="C92" s="3" t="s">
        <v>642</v>
      </c>
      <c r="D92" s="3" t="s">
        <v>642</v>
      </c>
      <c r="E92" s="3">
        <v>54752</v>
      </c>
      <c r="F92" t="s">
        <v>642</v>
      </c>
      <c r="K92" s="12" t="s">
        <v>343</v>
      </c>
      <c r="L92" s="3"/>
      <c r="M92" s="3"/>
      <c r="O92" s="7"/>
      <c r="R92" s="3">
        <v>45496</v>
      </c>
      <c r="S92">
        <v>2.859</v>
      </c>
      <c r="T92">
        <v>2.8690000000000002</v>
      </c>
      <c r="V92" s="3">
        <v>45496</v>
      </c>
      <c r="W92">
        <v>3.6419999999999999</v>
      </c>
      <c r="Y92" s="3"/>
      <c r="AF92" t="s">
        <v>344</v>
      </c>
    </row>
    <row r="93" spans="1:32" x14ac:dyDescent="0.35">
      <c r="A93" t="s">
        <v>687</v>
      </c>
      <c r="B93" t="s">
        <v>345</v>
      </c>
      <c r="C93" s="3" t="s">
        <v>642</v>
      </c>
      <c r="D93" s="3" t="s">
        <v>642</v>
      </c>
      <c r="E93" s="3">
        <v>54752</v>
      </c>
      <c r="F93" t="s">
        <v>642</v>
      </c>
      <c r="K93" s="12" t="s">
        <v>346</v>
      </c>
      <c r="L93" s="3"/>
      <c r="M93" s="3"/>
      <c r="O93" s="7"/>
      <c r="R93" s="3">
        <v>45495</v>
      </c>
      <c r="S93">
        <v>2.9089999999999998</v>
      </c>
      <c r="T93">
        <v>2.919</v>
      </c>
      <c r="V93" s="3">
        <v>45495</v>
      </c>
      <c r="W93">
        <v>3.641</v>
      </c>
      <c r="Y93" s="3"/>
      <c r="AF93" t="s">
        <v>347</v>
      </c>
    </row>
    <row r="94" spans="1:32" x14ac:dyDescent="0.35">
      <c r="A94" t="s">
        <v>688</v>
      </c>
      <c r="B94" t="s">
        <v>348</v>
      </c>
      <c r="C94" s="3" t="s">
        <v>642</v>
      </c>
      <c r="D94" s="3" t="s">
        <v>642</v>
      </c>
      <c r="E94" s="3">
        <v>54752</v>
      </c>
      <c r="F94" t="s">
        <v>642</v>
      </c>
      <c r="K94" s="12" t="s">
        <v>349</v>
      </c>
      <c r="L94" s="3"/>
      <c r="M94" s="3"/>
      <c r="O94" s="7"/>
      <c r="R94" s="3">
        <v>45492</v>
      </c>
      <c r="S94">
        <v>2.8919999999999999</v>
      </c>
      <c r="T94">
        <v>2.8959999999999999</v>
      </c>
      <c r="V94" s="3">
        <v>45492</v>
      </c>
      <c r="W94">
        <v>3.633</v>
      </c>
      <c r="Y94" s="3"/>
      <c r="AF94" t="s">
        <v>350</v>
      </c>
    </row>
    <row r="95" spans="1:32" x14ac:dyDescent="0.35">
      <c r="A95" t="s">
        <v>689</v>
      </c>
      <c r="B95" t="s">
        <v>351</v>
      </c>
      <c r="C95" s="3" t="s">
        <v>642</v>
      </c>
      <c r="D95" s="3" t="s">
        <v>642</v>
      </c>
      <c r="E95" s="3">
        <v>54752</v>
      </c>
      <c r="F95" t="s">
        <v>642</v>
      </c>
      <c r="K95" s="12" t="s">
        <v>352</v>
      </c>
      <c r="L95" s="3"/>
      <c r="M95" s="3"/>
      <c r="O95" s="7"/>
      <c r="R95" s="3">
        <v>45491</v>
      </c>
      <c r="S95">
        <v>2.8450000000000002</v>
      </c>
      <c r="T95">
        <v>2.855</v>
      </c>
      <c r="V95" s="3">
        <v>45491</v>
      </c>
      <c r="W95">
        <v>3.6240000000000001</v>
      </c>
      <c r="Y95" s="3"/>
      <c r="AF95" t="s">
        <v>353</v>
      </c>
    </row>
    <row r="96" spans="1:32" x14ac:dyDescent="0.35">
      <c r="A96" t="s">
        <v>690</v>
      </c>
      <c r="B96" t="s">
        <v>354</v>
      </c>
      <c r="C96" s="3" t="s">
        <v>642</v>
      </c>
      <c r="D96" s="3" t="s">
        <v>642</v>
      </c>
      <c r="E96" s="3">
        <v>54752</v>
      </c>
      <c r="F96" t="s">
        <v>642</v>
      </c>
      <c r="K96" s="12" t="s">
        <v>355</v>
      </c>
      <c r="L96" s="3"/>
      <c r="M96" s="3"/>
      <c r="O96" s="7"/>
      <c r="R96" s="3">
        <v>45490</v>
      </c>
      <c r="S96">
        <v>2.859</v>
      </c>
      <c r="T96">
        <v>2.8690000000000002</v>
      </c>
      <c r="V96" s="3">
        <v>45490</v>
      </c>
      <c r="W96">
        <v>3.62</v>
      </c>
      <c r="Y96" s="3"/>
      <c r="AF96" t="s">
        <v>356</v>
      </c>
    </row>
    <row r="97" spans="1:32" x14ac:dyDescent="0.35">
      <c r="A97" t="s">
        <v>691</v>
      </c>
      <c r="B97" t="s">
        <v>357</v>
      </c>
      <c r="C97" s="3" t="s">
        <v>642</v>
      </c>
      <c r="D97" s="3" t="s">
        <v>642</v>
      </c>
      <c r="E97" s="3">
        <v>54752</v>
      </c>
      <c r="F97" t="s">
        <v>642</v>
      </c>
      <c r="K97" s="12" t="s">
        <v>358</v>
      </c>
      <c r="L97" s="3"/>
      <c r="M97" s="3"/>
      <c r="O97" s="7"/>
      <c r="R97" s="3">
        <v>45489</v>
      </c>
      <c r="S97">
        <v>2.8530000000000002</v>
      </c>
      <c r="T97">
        <v>2.8570000000000002</v>
      </c>
      <c r="V97" s="3">
        <v>45489</v>
      </c>
      <c r="W97">
        <v>3.6339999999999999</v>
      </c>
      <c r="Y97" s="3"/>
      <c r="AF97" t="s">
        <v>359</v>
      </c>
    </row>
    <row r="98" spans="1:32" x14ac:dyDescent="0.35">
      <c r="A98" t="s">
        <v>692</v>
      </c>
      <c r="B98" t="s">
        <v>360</v>
      </c>
      <c r="C98" s="3" t="s">
        <v>642</v>
      </c>
      <c r="D98" s="3" t="s">
        <v>642</v>
      </c>
      <c r="E98" s="3">
        <v>54752</v>
      </c>
      <c r="F98" t="s">
        <v>642</v>
      </c>
      <c r="K98" s="12" t="s">
        <v>361</v>
      </c>
      <c r="L98" s="3"/>
      <c r="M98" s="3"/>
      <c r="O98" s="7"/>
      <c r="R98" s="3">
        <v>45488</v>
      </c>
      <c r="S98">
        <v>2.8980000000000001</v>
      </c>
      <c r="T98">
        <v>2.9079999999999999</v>
      </c>
      <c r="V98" s="3">
        <v>45488</v>
      </c>
      <c r="W98">
        <v>3.6349999999999998</v>
      </c>
      <c r="Y98" s="3"/>
      <c r="AF98" t="s">
        <v>362</v>
      </c>
    </row>
    <row r="99" spans="1:32" x14ac:dyDescent="0.35">
      <c r="A99" t="s">
        <v>693</v>
      </c>
      <c r="B99" t="s">
        <v>363</v>
      </c>
      <c r="C99" s="3" t="s">
        <v>642</v>
      </c>
      <c r="D99" s="3" t="s">
        <v>642</v>
      </c>
      <c r="E99" s="3">
        <v>54752</v>
      </c>
      <c r="F99" t="s">
        <v>642</v>
      </c>
      <c r="K99" s="12" t="s">
        <v>364</v>
      </c>
      <c r="L99" s="3"/>
      <c r="M99" s="3"/>
      <c r="O99" s="7"/>
      <c r="R99" s="3">
        <v>45485</v>
      </c>
      <c r="S99">
        <v>2.9350000000000001</v>
      </c>
      <c r="T99">
        <v>2.9449999999999998</v>
      </c>
      <c r="V99" s="3">
        <v>45485</v>
      </c>
      <c r="W99">
        <v>3.6619999999999999</v>
      </c>
      <c r="Y99" s="3"/>
      <c r="AF99" t="s">
        <v>365</v>
      </c>
    </row>
    <row r="100" spans="1:32" x14ac:dyDescent="0.35">
      <c r="A100" t="s">
        <v>694</v>
      </c>
      <c r="B100" t="s">
        <v>366</v>
      </c>
      <c r="C100" s="3" t="s">
        <v>642</v>
      </c>
      <c r="D100" s="3" t="s">
        <v>642</v>
      </c>
      <c r="E100" s="3">
        <v>54752</v>
      </c>
      <c r="F100" t="s">
        <v>642</v>
      </c>
      <c r="K100" s="12" t="s">
        <v>367</v>
      </c>
      <c r="L100" s="3"/>
      <c r="M100" s="3"/>
      <c r="O100" s="7"/>
      <c r="R100" s="3">
        <v>45484</v>
      </c>
      <c r="S100">
        <v>2.9079999999999999</v>
      </c>
      <c r="T100">
        <v>2.9180000000000001</v>
      </c>
      <c r="V100" s="3">
        <v>45484</v>
      </c>
      <c r="W100">
        <v>3.6760000000000002</v>
      </c>
      <c r="Y100" s="3"/>
      <c r="AF100" t="s">
        <v>368</v>
      </c>
    </row>
    <row r="101" spans="1:32" x14ac:dyDescent="0.35">
      <c r="A101" t="s">
        <v>695</v>
      </c>
      <c r="B101" t="s">
        <v>369</v>
      </c>
      <c r="C101" s="3" t="s">
        <v>642</v>
      </c>
      <c r="D101" s="3" t="s">
        <v>642</v>
      </c>
      <c r="E101" s="3">
        <v>54752</v>
      </c>
      <c r="F101" t="s">
        <v>642</v>
      </c>
      <c r="K101" s="12" t="s">
        <v>370</v>
      </c>
      <c r="L101" s="3"/>
      <c r="M101" s="3"/>
      <c r="O101" s="7"/>
      <c r="R101" s="3">
        <v>45483</v>
      </c>
      <c r="S101">
        <v>2.996</v>
      </c>
      <c r="T101">
        <v>3.0059999999999998</v>
      </c>
      <c r="V101" s="3">
        <v>45483</v>
      </c>
      <c r="W101">
        <v>3.6829999999999998</v>
      </c>
      <c r="Y101" s="3"/>
      <c r="AF101" t="s">
        <v>371</v>
      </c>
    </row>
    <row r="102" spans="1:32" x14ac:dyDescent="0.35">
      <c r="A102" t="s">
        <v>696</v>
      </c>
      <c r="B102" t="s">
        <v>372</v>
      </c>
      <c r="C102" s="3" t="s">
        <v>642</v>
      </c>
      <c r="D102" s="3" t="s">
        <v>642</v>
      </c>
      <c r="E102" s="3">
        <v>54752</v>
      </c>
      <c r="F102" t="s">
        <v>642</v>
      </c>
      <c r="K102" s="12" t="s">
        <v>373</v>
      </c>
      <c r="L102" s="3"/>
      <c r="M102" s="3"/>
      <c r="O102" s="7"/>
      <c r="R102" s="3">
        <v>45482</v>
      </c>
      <c r="S102">
        <v>3.0249999999999999</v>
      </c>
      <c r="T102">
        <v>3.0350000000000001</v>
      </c>
      <c r="V102" s="3">
        <v>45482</v>
      </c>
      <c r="W102">
        <v>3.6680000000000001</v>
      </c>
      <c r="Y102" s="3"/>
      <c r="AF102" t="s">
        <v>374</v>
      </c>
    </row>
    <row r="103" spans="1:32" x14ac:dyDescent="0.35">
      <c r="A103" t="s">
        <v>697</v>
      </c>
      <c r="B103" t="s">
        <v>375</v>
      </c>
      <c r="C103" s="3" t="s">
        <v>642</v>
      </c>
      <c r="D103" s="3" t="s">
        <v>642</v>
      </c>
      <c r="E103" s="3">
        <v>54752</v>
      </c>
      <c r="F103" t="s">
        <v>642</v>
      </c>
      <c r="K103" s="12" t="s">
        <v>376</v>
      </c>
      <c r="L103" s="3"/>
      <c r="M103" s="3"/>
      <c r="O103" s="7"/>
      <c r="R103" s="3">
        <v>45481</v>
      </c>
      <c r="S103">
        <v>3.0059999999999998</v>
      </c>
      <c r="T103">
        <v>3.016</v>
      </c>
      <c r="V103" s="3">
        <v>45481</v>
      </c>
      <c r="W103">
        <v>3.6749999999999998</v>
      </c>
      <c r="Y103" s="3"/>
      <c r="AF103" t="s">
        <v>377</v>
      </c>
    </row>
    <row r="104" spans="1:32" x14ac:dyDescent="0.35">
      <c r="A104" t="s">
        <v>698</v>
      </c>
      <c r="B104" t="s">
        <v>378</v>
      </c>
      <c r="C104" s="3" t="s">
        <v>642</v>
      </c>
      <c r="D104" s="3" t="s">
        <v>642</v>
      </c>
      <c r="E104" s="3">
        <v>54752</v>
      </c>
      <c r="F104" t="s">
        <v>642</v>
      </c>
      <c r="K104" s="12" t="s">
        <v>379</v>
      </c>
      <c r="L104" s="3"/>
      <c r="M104" s="3"/>
      <c r="R104" s="3">
        <v>45478</v>
      </c>
      <c r="S104">
        <v>3.008</v>
      </c>
      <c r="T104">
        <v>3.0179999999999998</v>
      </c>
      <c r="V104" s="3">
        <v>45478</v>
      </c>
      <c r="W104">
        <v>3.6779999999999999</v>
      </c>
      <c r="Y104" s="3"/>
      <c r="AF104" t="s">
        <v>380</v>
      </c>
    </row>
    <row r="105" spans="1:32" x14ac:dyDescent="0.35">
      <c r="A105" t="s">
        <v>699</v>
      </c>
      <c r="B105" t="s">
        <v>381</v>
      </c>
      <c r="C105" s="3" t="s">
        <v>642</v>
      </c>
      <c r="D105" s="3" t="s">
        <v>642</v>
      </c>
      <c r="E105" s="3">
        <v>54752</v>
      </c>
      <c r="F105" t="s">
        <v>642</v>
      </c>
      <c r="K105" s="12" t="s">
        <v>382</v>
      </c>
      <c r="L105" s="3"/>
      <c r="M105" s="3"/>
      <c r="O105" s="6" t="s">
        <v>383</v>
      </c>
      <c r="V105" s="3">
        <v>45477</v>
      </c>
      <c r="W105">
        <v>3.6829999999999998</v>
      </c>
      <c r="AF105" t="s">
        <v>384</v>
      </c>
    </row>
    <row r="106" spans="1:32" x14ac:dyDescent="0.35">
      <c r="A106" t="s">
        <v>700</v>
      </c>
      <c r="B106" t="s">
        <v>385</v>
      </c>
      <c r="C106" s="3" t="s">
        <v>642</v>
      </c>
      <c r="D106" s="3" t="s">
        <v>642</v>
      </c>
      <c r="E106" s="3">
        <v>54752</v>
      </c>
      <c r="F106" t="s">
        <v>642</v>
      </c>
      <c r="K106" s="12" t="s">
        <v>386</v>
      </c>
      <c r="L106" s="3"/>
      <c r="M106" s="3"/>
      <c r="O106" t="s">
        <v>630</v>
      </c>
      <c r="V106" s="3">
        <v>45476</v>
      </c>
      <c r="W106">
        <v>3.6779999999999999</v>
      </c>
      <c r="AF106" t="s">
        <v>387</v>
      </c>
    </row>
    <row r="107" spans="1:32" x14ac:dyDescent="0.35">
      <c r="A107" t="s">
        <v>701</v>
      </c>
      <c r="B107" t="s">
        <v>388</v>
      </c>
      <c r="C107" s="3">
        <v>45617</v>
      </c>
      <c r="D107" s="3">
        <v>54752</v>
      </c>
      <c r="E107" s="3">
        <v>56578</v>
      </c>
      <c r="F107">
        <v>0.58316907500000004</v>
      </c>
      <c r="K107" s="12" t="s">
        <v>389</v>
      </c>
      <c r="L107" s="3"/>
      <c r="M107" s="3"/>
      <c r="P107" s="12" t="s">
        <v>390</v>
      </c>
      <c r="V107" s="3">
        <v>45475</v>
      </c>
      <c r="W107">
        <v>3.6760000000000002</v>
      </c>
      <c r="AF107" t="s">
        <v>391</v>
      </c>
    </row>
    <row r="108" spans="1:32" x14ac:dyDescent="0.35">
      <c r="A108" t="s">
        <v>702</v>
      </c>
      <c r="B108" t="s">
        <v>392</v>
      </c>
      <c r="C108" s="3" t="s">
        <v>642</v>
      </c>
      <c r="D108" s="3" t="s">
        <v>642</v>
      </c>
      <c r="E108" s="3">
        <v>56578</v>
      </c>
      <c r="F108" t="s">
        <v>642</v>
      </c>
      <c r="K108" s="12" t="s">
        <v>393</v>
      </c>
      <c r="L108" s="3"/>
      <c r="M108" s="3"/>
      <c r="O108" s="12" t="s">
        <v>46</v>
      </c>
      <c r="P108" t="e">
        <v>#N/A</v>
      </c>
      <c r="V108" s="3">
        <v>45474</v>
      </c>
      <c r="W108">
        <v>3.6779999999999999</v>
      </c>
      <c r="AF108" t="s">
        <v>394</v>
      </c>
    </row>
    <row r="109" spans="1:32" x14ac:dyDescent="0.35">
      <c r="A109" t="s">
        <v>703</v>
      </c>
      <c r="B109" t="s">
        <v>395</v>
      </c>
      <c r="C109" s="3" t="s">
        <v>642</v>
      </c>
      <c r="D109" s="3" t="s">
        <v>642</v>
      </c>
      <c r="E109" s="3">
        <v>56578</v>
      </c>
      <c r="F109" t="s">
        <v>642</v>
      </c>
      <c r="K109" s="12" t="s">
        <v>396</v>
      </c>
      <c r="L109" s="3"/>
      <c r="M109" s="3"/>
      <c r="O109" s="12" t="s">
        <v>51</v>
      </c>
      <c r="P109" t="e">
        <v>#N/A</v>
      </c>
      <c r="V109" s="3">
        <v>45471</v>
      </c>
      <c r="W109">
        <v>3.6819999999999999</v>
      </c>
      <c r="AF109" t="s">
        <v>397</v>
      </c>
    </row>
    <row r="110" spans="1:32" x14ac:dyDescent="0.35">
      <c r="A110" t="s">
        <v>704</v>
      </c>
      <c r="B110" t="s">
        <v>398</v>
      </c>
      <c r="C110" s="3" t="s">
        <v>642</v>
      </c>
      <c r="D110" s="3" t="s">
        <v>642</v>
      </c>
      <c r="E110" s="3">
        <v>56578</v>
      </c>
      <c r="F110" t="s">
        <v>642</v>
      </c>
      <c r="K110" s="12" t="s">
        <v>399</v>
      </c>
      <c r="L110" s="3"/>
      <c r="M110" s="3"/>
      <c r="O110" s="12" t="s">
        <v>57</v>
      </c>
      <c r="P110" s="12" t="s">
        <v>400</v>
      </c>
      <c r="V110" s="3">
        <v>45470</v>
      </c>
      <c r="W110">
        <v>3.6779999999999999</v>
      </c>
      <c r="AF110" t="s">
        <v>401</v>
      </c>
    </row>
    <row r="111" spans="1:32" x14ac:dyDescent="0.35">
      <c r="A111" t="s">
        <v>705</v>
      </c>
      <c r="B111" t="s">
        <v>402</v>
      </c>
      <c r="C111" s="3" t="s">
        <v>642</v>
      </c>
      <c r="D111" s="3" t="s">
        <v>642</v>
      </c>
      <c r="E111" s="3">
        <v>56578</v>
      </c>
      <c r="F111" t="s">
        <v>642</v>
      </c>
      <c r="K111" s="12" t="s">
        <v>403</v>
      </c>
      <c r="L111" s="3"/>
      <c r="M111" s="3"/>
      <c r="O111" s="12" t="s">
        <v>63</v>
      </c>
      <c r="P111" s="12" t="s">
        <v>404</v>
      </c>
      <c r="V111" s="3">
        <v>45469</v>
      </c>
      <c r="W111">
        <v>3.6720000000000002</v>
      </c>
      <c r="AF111" t="s">
        <v>405</v>
      </c>
    </row>
    <row r="112" spans="1:32" x14ac:dyDescent="0.35">
      <c r="A112" t="s">
        <v>706</v>
      </c>
      <c r="B112" t="s">
        <v>406</v>
      </c>
      <c r="C112" s="3" t="s">
        <v>642</v>
      </c>
      <c r="D112" s="3" t="s">
        <v>642</v>
      </c>
      <c r="E112" s="3">
        <v>56578</v>
      </c>
      <c r="F112" t="s">
        <v>642</v>
      </c>
      <c r="K112" s="12" t="s">
        <v>407</v>
      </c>
      <c r="L112" s="3"/>
      <c r="M112" s="3"/>
      <c r="O112" s="12" t="s">
        <v>69</v>
      </c>
      <c r="P112" s="12" t="s">
        <v>408</v>
      </c>
      <c r="V112" s="3">
        <v>45468</v>
      </c>
      <c r="W112">
        <v>3.6709999999999998</v>
      </c>
      <c r="AF112" t="s">
        <v>409</v>
      </c>
    </row>
    <row r="113" spans="1:32" x14ac:dyDescent="0.35">
      <c r="A113" t="s">
        <v>707</v>
      </c>
      <c r="B113" t="s">
        <v>410</v>
      </c>
      <c r="C113" s="3" t="s">
        <v>642</v>
      </c>
      <c r="D113" s="3" t="s">
        <v>642</v>
      </c>
      <c r="E113" s="3">
        <v>56578</v>
      </c>
      <c r="F113" t="s">
        <v>642</v>
      </c>
      <c r="K113" s="12" t="s">
        <v>411</v>
      </c>
      <c r="L113" s="3"/>
      <c r="M113" s="3"/>
      <c r="O113" s="12" t="s">
        <v>74</v>
      </c>
      <c r="P113" s="12" t="s">
        <v>412</v>
      </c>
      <c r="V113" s="3">
        <v>45467</v>
      </c>
      <c r="W113">
        <v>3.661</v>
      </c>
      <c r="AF113" t="s">
        <v>413</v>
      </c>
    </row>
    <row r="114" spans="1:32" x14ac:dyDescent="0.35">
      <c r="A114" t="s">
        <v>708</v>
      </c>
      <c r="B114" t="s">
        <v>414</v>
      </c>
      <c r="C114" s="3" t="s">
        <v>642</v>
      </c>
      <c r="D114" s="3" t="s">
        <v>642</v>
      </c>
      <c r="E114" s="3">
        <v>56578</v>
      </c>
      <c r="F114" t="s">
        <v>642</v>
      </c>
      <c r="K114" s="12" t="s">
        <v>415</v>
      </c>
      <c r="L114" s="3"/>
      <c r="M114" s="3"/>
      <c r="O114" s="12" t="s">
        <v>78</v>
      </c>
      <c r="P114" s="12" t="s">
        <v>416</v>
      </c>
      <c r="V114" s="3">
        <v>45464</v>
      </c>
      <c r="W114">
        <v>3.6909999999999998</v>
      </c>
      <c r="AF114" t="s">
        <v>417</v>
      </c>
    </row>
    <row r="115" spans="1:32" x14ac:dyDescent="0.35">
      <c r="A115" t="s">
        <v>709</v>
      </c>
      <c r="B115" t="s">
        <v>418</v>
      </c>
      <c r="C115" s="3" t="s">
        <v>642</v>
      </c>
      <c r="D115" s="3" t="s">
        <v>642</v>
      </c>
      <c r="E115" s="3">
        <v>56578</v>
      </c>
      <c r="F115" t="s">
        <v>642</v>
      </c>
      <c r="K115" s="12" t="s">
        <v>419</v>
      </c>
      <c r="L115" s="3"/>
      <c r="M115" s="3"/>
      <c r="O115" s="12" t="s">
        <v>81</v>
      </c>
      <c r="P115" s="12" t="s">
        <v>420</v>
      </c>
      <c r="V115" s="3">
        <v>45463</v>
      </c>
      <c r="W115">
        <v>3.6890000000000001</v>
      </c>
      <c r="AF115" t="s">
        <v>421</v>
      </c>
    </row>
    <row r="116" spans="1:32" x14ac:dyDescent="0.35">
      <c r="A116" t="s">
        <v>710</v>
      </c>
      <c r="B116" t="s">
        <v>422</v>
      </c>
      <c r="C116" s="3" t="s">
        <v>642</v>
      </c>
      <c r="D116" s="3" t="s">
        <v>642</v>
      </c>
      <c r="E116" s="3">
        <v>56578</v>
      </c>
      <c r="F116" t="s">
        <v>642</v>
      </c>
      <c r="K116" s="12" t="s">
        <v>423</v>
      </c>
      <c r="L116" s="3"/>
      <c r="M116" s="3"/>
      <c r="O116" s="12" t="s">
        <v>83</v>
      </c>
      <c r="P116" s="12" t="s">
        <v>424</v>
      </c>
      <c r="V116" s="3">
        <v>45462</v>
      </c>
      <c r="W116">
        <v>3.6949999999999998</v>
      </c>
      <c r="AF116" t="s">
        <v>425</v>
      </c>
    </row>
    <row r="117" spans="1:32" x14ac:dyDescent="0.35">
      <c r="A117" t="s">
        <v>711</v>
      </c>
      <c r="B117" t="s">
        <v>426</v>
      </c>
      <c r="C117" s="3" t="s">
        <v>642</v>
      </c>
      <c r="D117" s="3" t="s">
        <v>642</v>
      </c>
      <c r="E117" s="3">
        <v>56578</v>
      </c>
      <c r="F117" t="s">
        <v>642</v>
      </c>
      <c r="K117" s="12" t="s">
        <v>427</v>
      </c>
      <c r="L117" s="3"/>
      <c r="M117" s="3"/>
      <c r="O117" s="12" t="s">
        <v>88</v>
      </c>
      <c r="P117" s="12" t="s">
        <v>428</v>
      </c>
      <c r="V117" s="3">
        <v>45461</v>
      </c>
      <c r="W117">
        <v>3.6949999999999998</v>
      </c>
      <c r="AF117" t="s">
        <v>429</v>
      </c>
    </row>
    <row r="118" spans="1:32" x14ac:dyDescent="0.35">
      <c r="A118" t="s">
        <v>712</v>
      </c>
      <c r="B118" t="s">
        <v>430</v>
      </c>
      <c r="C118" s="3" t="s">
        <v>642</v>
      </c>
      <c r="D118" s="3" t="s">
        <v>642</v>
      </c>
      <c r="E118" s="3">
        <v>56578</v>
      </c>
      <c r="F118" t="s">
        <v>642</v>
      </c>
      <c r="K118" s="12" t="s">
        <v>431</v>
      </c>
      <c r="L118" s="3"/>
      <c r="M118" s="3"/>
      <c r="O118" s="12" t="s">
        <v>92</v>
      </c>
      <c r="P118" s="12" t="s">
        <v>432</v>
      </c>
      <c r="V118" s="3">
        <v>45460</v>
      </c>
      <c r="W118">
        <v>3.7109999999999999</v>
      </c>
      <c r="AF118" t="s">
        <v>433</v>
      </c>
    </row>
    <row r="119" spans="1:32" x14ac:dyDescent="0.35">
      <c r="A119" t="s">
        <v>713</v>
      </c>
      <c r="B119" t="s">
        <v>434</v>
      </c>
      <c r="C119" s="3" t="s">
        <v>642</v>
      </c>
      <c r="D119" s="3" t="s">
        <v>642</v>
      </c>
      <c r="E119" s="3">
        <v>56578</v>
      </c>
      <c r="F119" t="s">
        <v>642</v>
      </c>
      <c r="K119" s="12" t="s">
        <v>435</v>
      </c>
      <c r="L119" s="3"/>
      <c r="M119" s="3"/>
      <c r="O119" s="12" t="s">
        <v>97</v>
      </c>
      <c r="P119" s="12" t="s">
        <v>436</v>
      </c>
      <c r="V119" s="3">
        <v>45457</v>
      </c>
      <c r="W119">
        <v>3.7349999999999999</v>
      </c>
      <c r="AF119" t="s">
        <v>437</v>
      </c>
    </row>
    <row r="120" spans="1:32" x14ac:dyDescent="0.35">
      <c r="A120" t="s">
        <v>714</v>
      </c>
      <c r="B120" t="s">
        <v>438</v>
      </c>
      <c r="C120" s="3" t="s">
        <v>642</v>
      </c>
      <c r="D120" s="3" t="s">
        <v>642</v>
      </c>
      <c r="E120" s="3">
        <v>56578</v>
      </c>
      <c r="F120" t="s">
        <v>642</v>
      </c>
      <c r="K120" s="12" t="s">
        <v>439</v>
      </c>
      <c r="L120" s="3"/>
      <c r="M120" s="3"/>
      <c r="O120" s="12" t="s">
        <v>102</v>
      </c>
      <c r="P120" s="12" t="s">
        <v>440</v>
      </c>
      <c r="V120" s="3">
        <v>45456</v>
      </c>
      <c r="W120">
        <v>3.7429999999999999</v>
      </c>
      <c r="AF120" t="s">
        <v>441</v>
      </c>
    </row>
    <row r="121" spans="1:32" x14ac:dyDescent="0.35">
      <c r="A121" t="s">
        <v>715</v>
      </c>
      <c r="B121" t="s">
        <v>442</v>
      </c>
      <c r="C121" s="3" t="s">
        <v>642</v>
      </c>
      <c r="D121" s="3" t="s">
        <v>642</v>
      </c>
      <c r="E121" s="3">
        <v>56578</v>
      </c>
      <c r="F121" t="s">
        <v>642</v>
      </c>
      <c r="K121" s="12" t="s">
        <v>443</v>
      </c>
      <c r="L121" s="3"/>
      <c r="M121" s="3"/>
      <c r="O121" s="12" t="s">
        <v>105</v>
      </c>
      <c r="P121" s="12" t="s">
        <v>444</v>
      </c>
      <c r="V121" s="3">
        <v>45455</v>
      </c>
      <c r="W121">
        <v>3.7480000000000002</v>
      </c>
      <c r="AF121" t="s">
        <v>445</v>
      </c>
    </row>
    <row r="122" spans="1:32" x14ac:dyDescent="0.35">
      <c r="A122" t="s">
        <v>716</v>
      </c>
      <c r="B122" t="s">
        <v>446</v>
      </c>
      <c r="C122" s="3" t="s">
        <v>642</v>
      </c>
      <c r="D122" s="3" t="s">
        <v>642</v>
      </c>
      <c r="E122" s="3">
        <v>56578</v>
      </c>
      <c r="F122" t="s">
        <v>642</v>
      </c>
      <c r="K122" s="12" t="s">
        <v>447</v>
      </c>
      <c r="L122" s="3"/>
      <c r="M122" s="3"/>
      <c r="O122" s="12" t="s">
        <v>109</v>
      </c>
      <c r="P122" s="12" t="s">
        <v>448</v>
      </c>
      <c r="V122" s="3">
        <v>45454</v>
      </c>
      <c r="W122">
        <v>3.7509999999999999</v>
      </c>
      <c r="AF122" t="s">
        <v>449</v>
      </c>
    </row>
    <row r="123" spans="1:32" x14ac:dyDescent="0.35">
      <c r="A123" t="s">
        <v>717</v>
      </c>
      <c r="B123" t="s">
        <v>450</v>
      </c>
      <c r="C123" s="3" t="s">
        <v>642</v>
      </c>
      <c r="D123" s="3" t="s">
        <v>642</v>
      </c>
      <c r="E123" s="3">
        <v>56578</v>
      </c>
      <c r="F123" t="s">
        <v>642</v>
      </c>
      <c r="K123" s="12" t="s">
        <v>451</v>
      </c>
      <c r="L123" s="3"/>
      <c r="M123" s="3"/>
      <c r="O123" s="12" t="s">
        <v>114</v>
      </c>
      <c r="P123" s="12" t="s">
        <v>452</v>
      </c>
      <c r="V123" s="3">
        <v>45453</v>
      </c>
      <c r="W123">
        <v>3.7480000000000002</v>
      </c>
      <c r="AF123" t="s">
        <v>453</v>
      </c>
    </row>
    <row r="124" spans="1:32" x14ac:dyDescent="0.35">
      <c r="A124" t="s">
        <v>718</v>
      </c>
      <c r="B124" t="s">
        <v>454</v>
      </c>
      <c r="C124" s="3" t="s">
        <v>642</v>
      </c>
      <c r="D124" s="3" t="s">
        <v>642</v>
      </c>
      <c r="E124" s="3">
        <v>56578</v>
      </c>
      <c r="F124" t="s">
        <v>642</v>
      </c>
      <c r="K124" s="12" t="s">
        <v>455</v>
      </c>
      <c r="L124" s="3"/>
      <c r="M124" s="3"/>
      <c r="O124" s="12" t="s">
        <v>119</v>
      </c>
      <c r="P124" s="12" t="s">
        <v>456</v>
      </c>
      <c r="V124" s="3">
        <v>45450</v>
      </c>
      <c r="W124">
        <v>3.7349999999999999</v>
      </c>
      <c r="AF124" t="s">
        <v>457</v>
      </c>
    </row>
    <row r="125" spans="1:32" x14ac:dyDescent="0.35">
      <c r="A125" t="s">
        <v>719</v>
      </c>
      <c r="B125" t="s">
        <v>458</v>
      </c>
      <c r="C125" s="3" t="s">
        <v>642</v>
      </c>
      <c r="D125" s="3" t="s">
        <v>642</v>
      </c>
      <c r="E125" s="3">
        <v>56578</v>
      </c>
      <c r="F125" t="s">
        <v>642</v>
      </c>
      <c r="K125" s="12" t="s">
        <v>459</v>
      </c>
      <c r="L125" s="3"/>
      <c r="M125" s="3"/>
      <c r="O125" s="12" t="s">
        <v>123</v>
      </c>
      <c r="P125" s="12" t="s">
        <v>460</v>
      </c>
      <c r="V125" s="3">
        <v>45449</v>
      </c>
      <c r="W125">
        <v>3.7440000000000002</v>
      </c>
      <c r="AF125" t="s">
        <v>461</v>
      </c>
    </row>
    <row r="126" spans="1:32" x14ac:dyDescent="0.35">
      <c r="A126" t="s">
        <v>720</v>
      </c>
      <c r="B126" t="s">
        <v>462</v>
      </c>
      <c r="C126" s="3" t="s">
        <v>642</v>
      </c>
      <c r="D126" s="3" t="s">
        <v>642</v>
      </c>
      <c r="E126" s="3">
        <v>56578</v>
      </c>
      <c r="F126" t="s">
        <v>642</v>
      </c>
      <c r="K126" s="12" t="s">
        <v>463</v>
      </c>
      <c r="L126" s="3"/>
      <c r="M126" s="3"/>
      <c r="O126" s="12" t="s">
        <v>127</v>
      </c>
      <c r="P126" s="12" t="s">
        <v>464</v>
      </c>
      <c r="V126" s="3">
        <v>45448</v>
      </c>
      <c r="W126">
        <v>3.738</v>
      </c>
      <c r="AF126" t="s">
        <v>465</v>
      </c>
    </row>
    <row r="127" spans="1:32" x14ac:dyDescent="0.35">
      <c r="A127" t="s">
        <v>721</v>
      </c>
      <c r="B127" t="s">
        <v>466</v>
      </c>
      <c r="C127" s="3">
        <v>45617</v>
      </c>
      <c r="D127" s="3">
        <v>56578</v>
      </c>
      <c r="E127" s="3" t="s">
        <v>642</v>
      </c>
      <c r="F127">
        <v>0.54416788999999999</v>
      </c>
      <c r="K127" s="12" t="s">
        <v>467</v>
      </c>
      <c r="L127" s="3"/>
      <c r="M127" s="3"/>
      <c r="O127" s="12" t="s">
        <v>131</v>
      </c>
      <c r="P127" s="12" t="s">
        <v>468</v>
      </c>
      <c r="V127" s="3">
        <v>45447</v>
      </c>
      <c r="W127">
        <v>3.7559999999999998</v>
      </c>
      <c r="AF127" t="s">
        <v>469</v>
      </c>
    </row>
    <row r="128" spans="1:32" x14ac:dyDescent="0.35">
      <c r="A128" t="s">
        <v>722</v>
      </c>
      <c r="B128" t="s">
        <v>470</v>
      </c>
      <c r="C128" s="3" t="s">
        <v>642</v>
      </c>
      <c r="D128" s="3" t="s">
        <v>642</v>
      </c>
      <c r="E128" s="3" t="s">
        <v>642</v>
      </c>
      <c r="F128" t="s">
        <v>642</v>
      </c>
      <c r="L128" s="3"/>
      <c r="M128" s="3"/>
      <c r="O128" s="12" t="s">
        <v>135</v>
      </c>
      <c r="P128" s="12" t="s">
        <v>471</v>
      </c>
      <c r="V128" s="3">
        <v>45446</v>
      </c>
      <c r="W128">
        <v>3.7549999999999999</v>
      </c>
      <c r="AF128" t="s">
        <v>472</v>
      </c>
    </row>
    <row r="129" spans="1:32" x14ac:dyDescent="0.35">
      <c r="A129" t="s">
        <v>723</v>
      </c>
      <c r="B129" t="s">
        <v>473</v>
      </c>
      <c r="C129" s="3" t="s">
        <v>642</v>
      </c>
      <c r="D129" s="3" t="s">
        <v>642</v>
      </c>
      <c r="E129" s="3" t="s">
        <v>642</v>
      </c>
      <c r="F129" t="s">
        <v>642</v>
      </c>
      <c r="L129" s="3"/>
      <c r="M129" s="3"/>
      <c r="O129" s="12" t="s">
        <v>139</v>
      </c>
      <c r="P129" s="12" t="s">
        <v>474</v>
      </c>
      <c r="V129" s="3">
        <v>45443</v>
      </c>
      <c r="W129">
        <v>3.7450000000000001</v>
      </c>
      <c r="AF129" t="s">
        <v>475</v>
      </c>
    </row>
    <row r="130" spans="1:32" x14ac:dyDescent="0.35">
      <c r="L130" s="3"/>
      <c r="M130" s="3"/>
      <c r="O130" s="12" t="s">
        <v>143</v>
      </c>
      <c r="P130" s="12" t="s">
        <v>476</v>
      </c>
      <c r="V130" s="3">
        <v>45442</v>
      </c>
      <c r="W130">
        <v>3.7589999999999999</v>
      </c>
      <c r="AF130" t="s">
        <v>477</v>
      </c>
    </row>
    <row r="131" spans="1:32" x14ac:dyDescent="0.35">
      <c r="L131" s="3"/>
      <c r="O131" s="12" t="s">
        <v>147</v>
      </c>
      <c r="P131" s="12" t="s">
        <v>478</v>
      </c>
      <c r="V131" s="3">
        <v>45441</v>
      </c>
      <c r="W131">
        <v>3.7679999999999998</v>
      </c>
      <c r="AF131" t="s">
        <v>479</v>
      </c>
    </row>
    <row r="132" spans="1:32" x14ac:dyDescent="0.35">
      <c r="L132" s="3"/>
      <c r="O132" s="12" t="s">
        <v>151</v>
      </c>
      <c r="P132" s="12" t="s">
        <v>480</v>
      </c>
      <c r="V132" s="3">
        <v>45440</v>
      </c>
      <c r="W132">
        <v>3.7490000000000001</v>
      </c>
      <c r="AF132" t="s">
        <v>481</v>
      </c>
    </row>
    <row r="133" spans="1:32" x14ac:dyDescent="0.35">
      <c r="L133" s="3"/>
      <c r="O133" s="12" t="s">
        <v>154</v>
      </c>
      <c r="P133" s="12" t="s">
        <v>482</v>
      </c>
      <c r="V133" s="3">
        <v>45439</v>
      </c>
      <c r="W133">
        <v>3.7749999999999999</v>
      </c>
      <c r="AF133" t="s">
        <v>483</v>
      </c>
    </row>
    <row r="134" spans="1:32" x14ac:dyDescent="0.35">
      <c r="L134" s="3"/>
      <c r="O134" s="12" t="s">
        <v>157</v>
      </c>
      <c r="P134" s="12" t="s">
        <v>484</v>
      </c>
      <c r="V134" s="3">
        <v>45436</v>
      </c>
      <c r="W134">
        <v>3.78</v>
      </c>
      <c r="AF134" t="s">
        <v>485</v>
      </c>
    </row>
    <row r="135" spans="1:32" x14ac:dyDescent="0.35">
      <c r="L135" s="3"/>
      <c r="O135" s="12" t="s">
        <v>160</v>
      </c>
      <c r="P135" s="12" t="s">
        <v>486</v>
      </c>
      <c r="V135" s="3">
        <v>45435</v>
      </c>
      <c r="W135">
        <v>3.7829999999999999</v>
      </c>
      <c r="AF135" t="s">
        <v>487</v>
      </c>
    </row>
    <row r="136" spans="1:32" x14ac:dyDescent="0.35">
      <c r="O136" s="12" t="s">
        <v>165</v>
      </c>
      <c r="P136" t="s">
        <v>488</v>
      </c>
      <c r="V136" s="3">
        <v>45434</v>
      </c>
      <c r="W136">
        <v>3.7839999999999998</v>
      </c>
      <c r="AF136" t="s">
        <v>489</v>
      </c>
    </row>
    <row r="137" spans="1:32" x14ac:dyDescent="0.35">
      <c r="O137" t="s">
        <v>169</v>
      </c>
      <c r="P137" t="s">
        <v>490</v>
      </c>
      <c r="V137" s="3">
        <v>45433</v>
      </c>
      <c r="W137">
        <v>3.7839999999999998</v>
      </c>
      <c r="AF137" t="s">
        <v>491</v>
      </c>
    </row>
    <row r="138" spans="1:32" x14ac:dyDescent="0.35">
      <c r="O138" t="s">
        <v>172</v>
      </c>
      <c r="P138" t="s">
        <v>492</v>
      </c>
      <c r="V138" s="3">
        <v>45432</v>
      </c>
      <c r="W138">
        <v>3.7869999999999999</v>
      </c>
      <c r="AF138" t="s">
        <v>493</v>
      </c>
    </row>
    <row r="139" spans="1:32" x14ac:dyDescent="0.35">
      <c r="O139" t="s">
        <v>175</v>
      </c>
      <c r="P139" t="s">
        <v>494</v>
      </c>
      <c r="V139" s="3">
        <v>45429</v>
      </c>
      <c r="W139">
        <v>3.7909999999999999</v>
      </c>
      <c r="AF139" t="s">
        <v>495</v>
      </c>
    </row>
    <row r="140" spans="1:32" x14ac:dyDescent="0.35">
      <c r="O140" t="s">
        <v>179</v>
      </c>
      <c r="P140" t="s">
        <v>496</v>
      </c>
      <c r="R140" s="6"/>
      <c r="V140" s="3">
        <v>45428</v>
      </c>
      <c r="W140">
        <v>3.7949999999999999</v>
      </c>
      <c r="Y140" s="6"/>
      <c r="AF140" t="s">
        <v>497</v>
      </c>
    </row>
    <row r="141" spans="1:32" x14ac:dyDescent="0.35">
      <c r="K141" s="6"/>
      <c r="O141" t="s">
        <v>182</v>
      </c>
      <c r="P141" t="s">
        <v>498</v>
      </c>
      <c r="V141" s="3">
        <v>45427</v>
      </c>
      <c r="W141">
        <v>3.798</v>
      </c>
      <c r="AF141" t="s">
        <v>499</v>
      </c>
    </row>
    <row r="142" spans="1:32" x14ac:dyDescent="0.35">
      <c r="M142" s="3"/>
      <c r="O142" t="s">
        <v>186</v>
      </c>
      <c r="P142" t="s">
        <v>500</v>
      </c>
      <c r="V142" s="3">
        <v>45426</v>
      </c>
      <c r="W142">
        <v>3.7989999999999999</v>
      </c>
      <c r="AF142" t="s">
        <v>501</v>
      </c>
    </row>
    <row r="143" spans="1:32" x14ac:dyDescent="0.35">
      <c r="M143" s="3"/>
      <c r="O143" t="s">
        <v>191</v>
      </c>
      <c r="P143" t="s">
        <v>502</v>
      </c>
      <c r="V143" s="3">
        <v>45425</v>
      </c>
      <c r="W143">
        <v>3.8</v>
      </c>
      <c r="AF143" t="s">
        <v>503</v>
      </c>
    </row>
    <row r="144" spans="1:32" x14ac:dyDescent="0.35">
      <c r="M144" s="3"/>
      <c r="V144" s="3">
        <v>45422</v>
      </c>
      <c r="W144">
        <v>3.7890000000000001</v>
      </c>
      <c r="AF144" t="s">
        <v>504</v>
      </c>
    </row>
    <row r="145" spans="13:32" x14ac:dyDescent="0.35">
      <c r="M145" s="3"/>
      <c r="V145" s="3">
        <v>45421</v>
      </c>
      <c r="W145">
        <v>3.802</v>
      </c>
      <c r="AF145" t="s">
        <v>505</v>
      </c>
    </row>
    <row r="146" spans="13:32" x14ac:dyDescent="0.35">
      <c r="M146" s="3"/>
      <c r="V146" s="3">
        <v>45420</v>
      </c>
      <c r="W146">
        <v>3.7949999999999999</v>
      </c>
      <c r="AF146" t="s">
        <v>506</v>
      </c>
    </row>
    <row r="147" spans="13:32" x14ac:dyDescent="0.35">
      <c r="M147" s="3"/>
      <c r="V147" s="3">
        <v>45419</v>
      </c>
      <c r="W147">
        <v>3.802</v>
      </c>
      <c r="AF147" t="s">
        <v>507</v>
      </c>
    </row>
    <row r="148" spans="13:32" x14ac:dyDescent="0.35">
      <c r="M148" s="3"/>
      <c r="V148" s="3">
        <v>45418</v>
      </c>
      <c r="W148">
        <v>3.7909999999999999</v>
      </c>
      <c r="AF148" t="s">
        <v>508</v>
      </c>
    </row>
    <row r="149" spans="13:32" x14ac:dyDescent="0.35">
      <c r="M149" s="3"/>
      <c r="O149" s="6"/>
      <c r="V149" s="3">
        <v>45415</v>
      </c>
      <c r="W149">
        <v>3.802</v>
      </c>
      <c r="AF149" t="s">
        <v>509</v>
      </c>
    </row>
    <row r="150" spans="13:32" x14ac:dyDescent="0.35">
      <c r="M150" s="3"/>
      <c r="V150" s="3">
        <v>45414</v>
      </c>
      <c r="W150">
        <v>3.8279999999999998</v>
      </c>
      <c r="AF150" t="s">
        <v>510</v>
      </c>
    </row>
    <row r="151" spans="13:32" x14ac:dyDescent="0.35">
      <c r="M151" s="3"/>
      <c r="V151" s="3">
        <v>45412</v>
      </c>
      <c r="W151">
        <v>3.7949999999999999</v>
      </c>
      <c r="AF151" t="s">
        <v>511</v>
      </c>
    </row>
    <row r="152" spans="13:32" x14ac:dyDescent="0.35">
      <c r="M152" s="3"/>
      <c r="V152" s="3">
        <v>45411</v>
      </c>
      <c r="W152">
        <v>3.8149999999999999</v>
      </c>
      <c r="AF152" t="s">
        <v>512</v>
      </c>
    </row>
    <row r="153" spans="13:32" x14ac:dyDescent="0.35">
      <c r="M153" s="3"/>
      <c r="V153" s="3">
        <v>45408</v>
      </c>
      <c r="W153">
        <v>3.835</v>
      </c>
      <c r="AF153" t="s">
        <v>513</v>
      </c>
    </row>
    <row r="154" spans="13:32" x14ac:dyDescent="0.35">
      <c r="M154" s="3"/>
      <c r="V154" s="3">
        <v>45407</v>
      </c>
      <c r="W154">
        <v>3.8250000000000002</v>
      </c>
      <c r="AF154" t="s">
        <v>514</v>
      </c>
    </row>
    <row r="155" spans="13:32" x14ac:dyDescent="0.35">
      <c r="M155" s="3"/>
      <c r="V155" s="3">
        <v>45406</v>
      </c>
      <c r="W155">
        <v>3.8330000000000002</v>
      </c>
      <c r="AF155" t="s">
        <v>515</v>
      </c>
    </row>
    <row r="156" spans="13:32" x14ac:dyDescent="0.35">
      <c r="M156" s="3"/>
      <c r="V156" s="3">
        <v>45405</v>
      </c>
      <c r="W156">
        <v>3.8439999999999999</v>
      </c>
      <c r="AF156" t="s">
        <v>516</v>
      </c>
    </row>
    <row r="157" spans="13:32" x14ac:dyDescent="0.35">
      <c r="M157" s="3"/>
      <c r="V157" s="3">
        <v>45404</v>
      </c>
      <c r="W157">
        <v>3.85</v>
      </c>
      <c r="AF157" t="s">
        <v>517</v>
      </c>
    </row>
    <row r="158" spans="13:32" x14ac:dyDescent="0.35">
      <c r="M158" s="3"/>
      <c r="V158" s="3">
        <v>45401</v>
      </c>
      <c r="W158">
        <v>3.8460000000000001</v>
      </c>
      <c r="AF158" t="s">
        <v>518</v>
      </c>
    </row>
    <row r="159" spans="13:32" x14ac:dyDescent="0.35">
      <c r="M159" s="3"/>
      <c r="V159" s="3">
        <v>45400</v>
      </c>
      <c r="W159">
        <v>3.843</v>
      </c>
      <c r="AF159" t="s">
        <v>519</v>
      </c>
    </row>
    <row r="160" spans="13:32" x14ac:dyDescent="0.35">
      <c r="M160" s="3"/>
      <c r="V160" s="3">
        <v>45399</v>
      </c>
      <c r="W160">
        <v>3.8420000000000001</v>
      </c>
      <c r="AF160" t="s">
        <v>520</v>
      </c>
    </row>
    <row r="161" spans="13:32" x14ac:dyDescent="0.35">
      <c r="M161" s="3"/>
      <c r="V161" s="3">
        <v>45398</v>
      </c>
      <c r="W161">
        <v>3.8420000000000001</v>
      </c>
      <c r="AF161" t="s">
        <v>521</v>
      </c>
    </row>
    <row r="162" spans="13:32" x14ac:dyDescent="0.35">
      <c r="M162" s="3"/>
      <c r="V162" s="3">
        <v>45397</v>
      </c>
      <c r="W162">
        <v>3.82</v>
      </c>
      <c r="AF162" t="s">
        <v>522</v>
      </c>
    </row>
    <row r="163" spans="13:32" x14ac:dyDescent="0.35">
      <c r="M163" s="3"/>
      <c r="V163" s="3">
        <v>45394</v>
      </c>
      <c r="W163">
        <v>3.8650000000000002</v>
      </c>
      <c r="AF163" t="s">
        <v>523</v>
      </c>
    </row>
    <row r="164" spans="13:32" x14ac:dyDescent="0.35">
      <c r="M164" s="3"/>
      <c r="V164" s="3">
        <v>45393</v>
      </c>
      <c r="W164">
        <v>3.8620000000000001</v>
      </c>
      <c r="AF164" t="s">
        <v>524</v>
      </c>
    </row>
    <row r="165" spans="13:32" x14ac:dyDescent="0.35">
      <c r="M165" s="3"/>
      <c r="V165" s="3">
        <v>45392</v>
      </c>
      <c r="W165">
        <v>3.83</v>
      </c>
      <c r="AF165" t="s">
        <v>525</v>
      </c>
    </row>
    <row r="166" spans="13:32" x14ac:dyDescent="0.35">
      <c r="M166" s="3"/>
      <c r="V166" s="3">
        <v>45391</v>
      </c>
      <c r="W166">
        <v>3.8679999999999999</v>
      </c>
      <c r="AF166" t="s">
        <v>526</v>
      </c>
    </row>
    <row r="167" spans="13:32" x14ac:dyDescent="0.35">
      <c r="M167" s="3"/>
      <c r="V167" s="3">
        <v>45390</v>
      </c>
      <c r="W167">
        <v>3.8460000000000001</v>
      </c>
      <c r="AF167" t="s">
        <v>527</v>
      </c>
    </row>
    <row r="168" spans="13:32" x14ac:dyDescent="0.35">
      <c r="M168" s="3"/>
      <c r="V168" s="3">
        <v>45387</v>
      </c>
      <c r="W168">
        <v>3.8340000000000001</v>
      </c>
      <c r="AF168" t="s">
        <v>528</v>
      </c>
    </row>
    <row r="169" spans="13:32" x14ac:dyDescent="0.35">
      <c r="M169" s="3"/>
      <c r="V169" s="3">
        <v>45386</v>
      </c>
      <c r="W169">
        <v>3.8439999999999999</v>
      </c>
      <c r="AF169" t="s">
        <v>529</v>
      </c>
    </row>
    <row r="170" spans="13:32" x14ac:dyDescent="0.35">
      <c r="M170" s="3"/>
      <c r="V170" s="3">
        <v>45385</v>
      </c>
      <c r="W170">
        <v>3.8220000000000001</v>
      </c>
      <c r="AF170" t="s">
        <v>530</v>
      </c>
    </row>
    <row r="171" spans="13:32" x14ac:dyDescent="0.35">
      <c r="M171" s="3"/>
      <c r="V171" s="3">
        <v>45384</v>
      </c>
      <c r="W171">
        <v>3.8420000000000001</v>
      </c>
      <c r="AF171" t="s">
        <v>531</v>
      </c>
    </row>
    <row r="172" spans="13:32" x14ac:dyDescent="0.35">
      <c r="M172" s="3"/>
      <c r="V172" s="3">
        <v>45379</v>
      </c>
      <c r="W172">
        <v>3.851</v>
      </c>
      <c r="AF172" t="s">
        <v>532</v>
      </c>
    </row>
    <row r="173" spans="13:32" x14ac:dyDescent="0.35">
      <c r="M173" s="3"/>
      <c r="V173" s="3">
        <v>45378</v>
      </c>
      <c r="W173">
        <v>3.8620000000000001</v>
      </c>
      <c r="AF173" t="s">
        <v>533</v>
      </c>
    </row>
    <row r="174" spans="13:32" x14ac:dyDescent="0.35">
      <c r="M174" s="3"/>
      <c r="V174" s="3">
        <v>45377</v>
      </c>
      <c r="W174">
        <v>3.8580000000000001</v>
      </c>
      <c r="AF174" t="s">
        <v>534</v>
      </c>
    </row>
    <row r="175" spans="13:32" x14ac:dyDescent="0.35">
      <c r="M175" s="3"/>
      <c r="V175" s="3">
        <v>45376</v>
      </c>
      <c r="W175">
        <v>3.855</v>
      </c>
      <c r="AF175" t="s">
        <v>535</v>
      </c>
    </row>
    <row r="176" spans="13:32" x14ac:dyDescent="0.35">
      <c r="M176" s="3"/>
      <c r="V176" s="3">
        <v>45373</v>
      </c>
      <c r="W176">
        <v>3.8740000000000001</v>
      </c>
      <c r="AF176" t="s">
        <v>536</v>
      </c>
    </row>
    <row r="177" spans="13:32" x14ac:dyDescent="0.35">
      <c r="M177" s="3"/>
      <c r="V177" s="3">
        <v>45372</v>
      </c>
      <c r="W177">
        <v>3.9020000000000001</v>
      </c>
      <c r="AF177" t="s">
        <v>537</v>
      </c>
    </row>
    <row r="178" spans="13:32" x14ac:dyDescent="0.35">
      <c r="M178" s="3"/>
      <c r="V178" s="3">
        <v>45371</v>
      </c>
      <c r="W178">
        <v>3.9060000000000001</v>
      </c>
      <c r="AF178" t="s">
        <v>538</v>
      </c>
    </row>
    <row r="179" spans="13:32" x14ac:dyDescent="0.35">
      <c r="M179" s="3"/>
      <c r="V179" s="3">
        <v>45370</v>
      </c>
      <c r="W179">
        <v>3.9089999999999998</v>
      </c>
      <c r="AF179" t="s">
        <v>539</v>
      </c>
    </row>
    <row r="180" spans="13:32" x14ac:dyDescent="0.35">
      <c r="M180" s="3"/>
      <c r="V180" s="3">
        <v>45369</v>
      </c>
      <c r="W180">
        <v>3.915</v>
      </c>
      <c r="AF180" t="s">
        <v>540</v>
      </c>
    </row>
    <row r="181" spans="13:32" x14ac:dyDescent="0.35">
      <c r="M181" s="3"/>
      <c r="V181" s="3">
        <v>45366</v>
      </c>
      <c r="W181">
        <v>3.9079999999999999</v>
      </c>
      <c r="AF181" t="s">
        <v>541</v>
      </c>
    </row>
    <row r="182" spans="13:32" x14ac:dyDescent="0.35">
      <c r="M182" s="3"/>
      <c r="V182" s="3">
        <v>45365</v>
      </c>
      <c r="W182">
        <v>3.903</v>
      </c>
      <c r="AF182" t="s">
        <v>542</v>
      </c>
    </row>
    <row r="183" spans="13:32" x14ac:dyDescent="0.35">
      <c r="M183" s="3"/>
      <c r="V183" s="3">
        <v>45364</v>
      </c>
      <c r="W183">
        <v>3.8919999999999999</v>
      </c>
      <c r="AF183" t="s">
        <v>543</v>
      </c>
    </row>
    <row r="184" spans="13:32" x14ac:dyDescent="0.35">
      <c r="M184" s="3"/>
      <c r="V184" s="3">
        <v>45363</v>
      </c>
      <c r="W184">
        <v>3.9049999999999998</v>
      </c>
      <c r="AF184" t="s">
        <v>544</v>
      </c>
    </row>
    <row r="185" spans="13:32" x14ac:dyDescent="0.35">
      <c r="M185" s="3"/>
      <c r="V185" s="3">
        <v>45362</v>
      </c>
      <c r="W185">
        <v>3.8919999999999999</v>
      </c>
      <c r="AF185" t="s">
        <v>545</v>
      </c>
    </row>
    <row r="186" spans="13:32" x14ac:dyDescent="0.35">
      <c r="M186" s="3"/>
      <c r="V186" s="3">
        <v>45359</v>
      </c>
      <c r="W186">
        <v>3.9020000000000001</v>
      </c>
      <c r="AF186" t="s">
        <v>546</v>
      </c>
    </row>
    <row r="187" spans="13:32" x14ac:dyDescent="0.35">
      <c r="M187" s="3"/>
      <c r="V187" s="3">
        <v>45358</v>
      </c>
      <c r="W187">
        <v>3.9119999999999999</v>
      </c>
      <c r="AF187" t="s">
        <v>547</v>
      </c>
    </row>
    <row r="188" spans="13:32" x14ac:dyDescent="0.35">
      <c r="M188" s="3"/>
      <c r="V188" s="3">
        <v>45357</v>
      </c>
      <c r="W188">
        <v>3.9020000000000001</v>
      </c>
      <c r="AF188" t="s">
        <v>548</v>
      </c>
    </row>
    <row r="189" spans="13:32" x14ac:dyDescent="0.35">
      <c r="M189" s="3"/>
      <c r="V189" s="3">
        <v>45356</v>
      </c>
      <c r="W189">
        <v>3.9209999999999998</v>
      </c>
      <c r="AF189" t="s">
        <v>549</v>
      </c>
    </row>
    <row r="190" spans="13:32" x14ac:dyDescent="0.35">
      <c r="M190" s="3"/>
      <c r="V190" s="3">
        <v>45355</v>
      </c>
      <c r="W190">
        <v>3.915</v>
      </c>
      <c r="AF190" t="s">
        <v>550</v>
      </c>
    </row>
    <row r="191" spans="13:32" x14ac:dyDescent="0.35">
      <c r="M191" s="3"/>
      <c r="V191" s="3">
        <v>45352</v>
      </c>
      <c r="W191">
        <v>3.9119999999999999</v>
      </c>
      <c r="AF191" t="s">
        <v>551</v>
      </c>
    </row>
    <row r="192" spans="13:32" x14ac:dyDescent="0.35">
      <c r="M192" s="3"/>
      <c r="V192" s="3">
        <v>45351</v>
      </c>
      <c r="W192">
        <v>3.9079999999999999</v>
      </c>
      <c r="AF192" t="s">
        <v>552</v>
      </c>
    </row>
    <row r="193" spans="13:32" x14ac:dyDescent="0.35">
      <c r="M193" s="3"/>
      <c r="V193" s="3">
        <v>45350</v>
      </c>
      <c r="W193">
        <v>3.915</v>
      </c>
      <c r="AF193" t="s">
        <v>553</v>
      </c>
    </row>
    <row r="194" spans="13:32" x14ac:dyDescent="0.35">
      <c r="M194" s="3"/>
      <c r="V194" s="3">
        <v>45349</v>
      </c>
      <c r="W194">
        <v>3.9180000000000001</v>
      </c>
      <c r="AF194" t="s">
        <v>554</v>
      </c>
    </row>
    <row r="195" spans="13:32" x14ac:dyDescent="0.35">
      <c r="M195" s="3"/>
      <c r="V195" s="3">
        <v>45348</v>
      </c>
      <c r="W195">
        <v>3.9009999999999998</v>
      </c>
      <c r="AF195" t="s">
        <v>555</v>
      </c>
    </row>
    <row r="196" spans="13:32" x14ac:dyDescent="0.35">
      <c r="M196" s="3"/>
      <c r="V196" s="3">
        <v>45345</v>
      </c>
      <c r="W196">
        <v>3.9140000000000001</v>
      </c>
      <c r="AF196" t="s">
        <v>556</v>
      </c>
    </row>
    <row r="197" spans="13:32" x14ac:dyDescent="0.35">
      <c r="M197" s="3"/>
      <c r="V197" s="3">
        <v>45344</v>
      </c>
      <c r="W197">
        <v>3.907</v>
      </c>
      <c r="AF197" t="s">
        <v>557</v>
      </c>
    </row>
    <row r="198" spans="13:32" x14ac:dyDescent="0.35">
      <c r="M198" s="3"/>
      <c r="V198" s="3">
        <v>45343</v>
      </c>
      <c r="W198">
        <v>3.911</v>
      </c>
      <c r="AF198" t="s">
        <v>558</v>
      </c>
    </row>
    <row r="199" spans="13:32" x14ac:dyDescent="0.35">
      <c r="M199" s="3"/>
      <c r="V199" s="3">
        <v>45342</v>
      </c>
      <c r="W199">
        <v>3.9279999999999999</v>
      </c>
      <c r="AF199" t="s">
        <v>559</v>
      </c>
    </row>
    <row r="200" spans="13:32" x14ac:dyDescent="0.35">
      <c r="M200" s="3"/>
      <c r="V200" s="3">
        <v>45341</v>
      </c>
      <c r="W200">
        <v>3.915</v>
      </c>
      <c r="AF200" t="s">
        <v>560</v>
      </c>
    </row>
    <row r="201" spans="13:32" x14ac:dyDescent="0.35">
      <c r="M201" s="3"/>
      <c r="V201" s="3">
        <v>45338</v>
      </c>
      <c r="W201">
        <v>3.895</v>
      </c>
      <c r="AF201" t="s">
        <v>561</v>
      </c>
    </row>
    <row r="202" spans="13:32" x14ac:dyDescent="0.35">
      <c r="M202" s="3"/>
      <c r="V202" s="3">
        <v>45337</v>
      </c>
      <c r="W202">
        <v>3.9249999999999998</v>
      </c>
      <c r="AF202" t="s">
        <v>562</v>
      </c>
    </row>
    <row r="203" spans="13:32" x14ac:dyDescent="0.35">
      <c r="M203" s="3"/>
      <c r="V203" s="3">
        <v>45336</v>
      </c>
      <c r="W203">
        <v>3.903</v>
      </c>
      <c r="AF203" t="s">
        <v>563</v>
      </c>
    </row>
    <row r="204" spans="13:32" x14ac:dyDescent="0.35">
      <c r="M204" s="3"/>
      <c r="V204" s="3">
        <v>45335</v>
      </c>
      <c r="W204">
        <v>3.8820000000000001</v>
      </c>
      <c r="AF204" t="s">
        <v>564</v>
      </c>
    </row>
    <row r="205" spans="13:32" x14ac:dyDescent="0.35">
      <c r="M205" s="3"/>
      <c r="V205" s="3">
        <v>45334</v>
      </c>
      <c r="W205">
        <v>3.9079999999999999</v>
      </c>
      <c r="AF205" t="s">
        <v>565</v>
      </c>
    </row>
    <row r="206" spans="13:32" x14ac:dyDescent="0.35">
      <c r="M206" s="3"/>
      <c r="AF206" t="s">
        <v>566</v>
      </c>
    </row>
    <row r="207" spans="13:32" x14ac:dyDescent="0.35">
      <c r="M207" s="3"/>
      <c r="AF207" t="s">
        <v>567</v>
      </c>
    </row>
    <row r="208" spans="13:32" x14ac:dyDescent="0.35">
      <c r="M208" s="3"/>
      <c r="AF208" t="s">
        <v>568</v>
      </c>
    </row>
    <row r="209" spans="13:32" x14ac:dyDescent="0.35">
      <c r="M209" s="3"/>
      <c r="AF209" t="s">
        <v>569</v>
      </c>
    </row>
    <row r="210" spans="13:32" x14ac:dyDescent="0.35">
      <c r="M210" s="3"/>
      <c r="AF210" t="s">
        <v>570</v>
      </c>
    </row>
    <row r="211" spans="13:32" x14ac:dyDescent="0.35">
      <c r="M211" s="3"/>
      <c r="AF211" t="s">
        <v>571</v>
      </c>
    </row>
    <row r="212" spans="13:32" x14ac:dyDescent="0.35">
      <c r="M212" s="3"/>
      <c r="AF212" t="s">
        <v>572</v>
      </c>
    </row>
    <row r="213" spans="13:32" x14ac:dyDescent="0.35">
      <c r="M213" s="3"/>
      <c r="AF213" t="s">
        <v>573</v>
      </c>
    </row>
    <row r="214" spans="13:32" x14ac:dyDescent="0.35">
      <c r="M214" s="3"/>
      <c r="AF214" t="s">
        <v>574</v>
      </c>
    </row>
    <row r="215" spans="13:32" x14ac:dyDescent="0.35">
      <c r="M215" s="3"/>
      <c r="AF215" t="s">
        <v>575</v>
      </c>
    </row>
    <row r="216" spans="13:32" x14ac:dyDescent="0.35">
      <c r="M216" s="3"/>
      <c r="AF216" t="s">
        <v>576</v>
      </c>
    </row>
    <row r="217" spans="13:32" x14ac:dyDescent="0.35">
      <c r="M217" s="3"/>
      <c r="AF217" t="s">
        <v>577</v>
      </c>
    </row>
    <row r="218" spans="13:32" x14ac:dyDescent="0.35">
      <c r="M218" s="3"/>
    </row>
    <row r="219" spans="13:32" x14ac:dyDescent="0.35">
      <c r="M219" s="3"/>
    </row>
    <row r="220" spans="13:32" x14ac:dyDescent="0.35">
      <c r="M220" s="3"/>
    </row>
    <row r="221" spans="13:32" x14ac:dyDescent="0.35">
      <c r="M221" s="3"/>
    </row>
    <row r="222" spans="13:32" x14ac:dyDescent="0.35">
      <c r="M222" s="3"/>
    </row>
    <row r="223" spans="13:32" x14ac:dyDescent="0.35">
      <c r="M223" s="3"/>
    </row>
    <row r="224" spans="13:32" x14ac:dyDescent="0.35">
      <c r="M224" s="3"/>
    </row>
    <row r="225" spans="13:13" x14ac:dyDescent="0.35">
      <c r="M225" s="3"/>
    </row>
    <row r="226" spans="13:13" x14ac:dyDescent="0.35">
      <c r="M226" s="3"/>
    </row>
    <row r="227" spans="13:13" x14ac:dyDescent="0.35">
      <c r="M227" s="3"/>
    </row>
    <row r="228" spans="13:13" x14ac:dyDescent="0.35">
      <c r="M228" s="3"/>
    </row>
    <row r="229" spans="13:13" x14ac:dyDescent="0.35">
      <c r="M229" s="3"/>
    </row>
    <row r="230" spans="13:13" x14ac:dyDescent="0.35">
      <c r="M230" s="3"/>
    </row>
    <row r="231" spans="13:13" x14ac:dyDescent="0.35">
      <c r="M231" s="3"/>
    </row>
    <row r="232" spans="13:13" x14ac:dyDescent="0.35">
      <c r="M232" s="3"/>
    </row>
    <row r="233" spans="13:13" x14ac:dyDescent="0.35">
      <c r="M233" s="3"/>
    </row>
    <row r="234" spans="13:13" x14ac:dyDescent="0.35">
      <c r="M234" s="3"/>
    </row>
    <row r="235" spans="13:13" x14ac:dyDescent="0.35">
      <c r="M235" s="3"/>
    </row>
    <row r="236" spans="13:13" x14ac:dyDescent="0.35">
      <c r="M236" s="3"/>
    </row>
    <row r="501" spans="1:40" x14ac:dyDescent="0.35">
      <c r="A501" t="str">
        <f>IF(realTime!A501="","",realTime!A501)</f>
        <v/>
      </c>
      <c r="B501" t="str">
        <f>IF(realTime!B501="","",realTime!B501)</f>
        <v/>
      </c>
      <c r="C501" t="str">
        <f>IF(realTime!C501="","",realTime!C501)</f>
        <v/>
      </c>
      <c r="D501" t="str">
        <f>IF(realTime!D501="","",realTime!D501)</f>
        <v/>
      </c>
      <c r="E501" t="str">
        <f>IF(realTime!E501="","",realTime!E501)</f>
        <v/>
      </c>
      <c r="F501" t="str">
        <f>IF(realTime!F501="","",realTime!F501)</f>
        <v/>
      </c>
      <c r="G501" s="4" t="str">
        <f>IF(realTime!G501="","",realTime!G501)</f>
        <v/>
      </c>
      <c r="H501" t="str">
        <f>IF(realTime!H501="","",realTime!H501)</f>
        <v/>
      </c>
      <c r="I501" t="str">
        <f>IF(realTime!I501="","",realTime!I501)</f>
        <v/>
      </c>
      <c r="J501" s="4" t="str">
        <f>IF(realTime!J501="","",realTime!J501)</f>
        <v/>
      </c>
      <c r="K501" t="str">
        <f>IF(realTime!K501="","",realTime!K501)</f>
        <v/>
      </c>
      <c r="L501" t="str">
        <f>IF(realTime!L501="","",realTime!L501)</f>
        <v/>
      </c>
      <c r="M501" t="str">
        <f>IF(realTime!M501="","",realTime!M501)</f>
        <v/>
      </c>
      <c r="N501" s="4" t="str">
        <f>IF(realTime!N501="","",realTime!N501)</f>
        <v/>
      </c>
      <c r="O501" t="str">
        <f>IF(realTime!O501="","",realTime!O501)</f>
        <v/>
      </c>
      <c r="P501" t="str">
        <f>IF(realTime!P501="","",realTime!P501)</f>
        <v/>
      </c>
      <c r="Q501" s="4" t="str">
        <f>IF(realTime!Q501="","",realTime!Q501)</f>
        <v/>
      </c>
      <c r="R501" t="str">
        <f>IF(realTime!R501="","",realTime!R501)</f>
        <v/>
      </c>
      <c r="S501" t="str">
        <f>IF(realTime!S501="","",realTime!S501)</f>
        <v/>
      </c>
      <c r="T501" t="str">
        <f>IF(realTime!T501="","",realTime!T501)</f>
        <v/>
      </c>
      <c r="U501" s="4" t="str">
        <f>IF(realTime!U501="","",realTime!U501)</f>
        <v/>
      </c>
      <c r="V501" s="3" t="str">
        <f>IF(realTime!V501="","",realTime!V501)</f>
        <v/>
      </c>
      <c r="W501" t="str">
        <f>IF(realTime!W501="","",realTime!W501)</f>
        <v/>
      </c>
      <c r="X501" s="4" t="str">
        <f>IF(realTime!X501="","",realTime!X501)</f>
        <v/>
      </c>
      <c r="Y501" t="str">
        <f>IF(realTime!Y501="","",realTime!Y501)</f>
        <v/>
      </c>
      <c r="Z501" t="str">
        <f>IF(realTime!Z501="","",realTime!Z501)</f>
        <v/>
      </c>
      <c r="AA501" t="str">
        <f>IF(realTime!AA501="","",realTime!AA501)</f>
        <v/>
      </c>
      <c r="AB501" s="4" t="str">
        <f>IF(realTime!AB501="","",realTime!AB501)</f>
        <v/>
      </c>
      <c r="AC501" t="str">
        <f>IF(realTime!AC501="","",realTime!AC501)</f>
        <v/>
      </c>
      <c r="AD501" t="str">
        <f>IF(realTime!AD501="","",realTime!AD501)</f>
        <v/>
      </c>
      <c r="AE501" s="4" t="str">
        <f>IF(realTime!AE501="","",realTime!AE501)</f>
        <v/>
      </c>
      <c r="AF501" t="str">
        <f>IF(realTime!AF501="","",realTime!AF501)</f>
        <v/>
      </c>
      <c r="AG501" t="str">
        <f>IF(realTime!AG501="","",realTime!AG501)</f>
        <v/>
      </c>
      <c r="AH501" s="4" t="str">
        <f>IF(realTime!AH501="","",realTime!AH501)</f>
        <v/>
      </c>
      <c r="AI501" t="str">
        <f>IF(realTime!AI501="","",realTime!AI501)</f>
        <v/>
      </c>
      <c r="AJ501" t="str">
        <f>IF(realTime!AJ501="","",realTime!AJ501)</f>
        <v/>
      </c>
      <c r="AK501" t="str">
        <f>IF(realTime!AK501="","",realTime!AK501)</f>
        <v/>
      </c>
      <c r="AL501" t="str">
        <f>IF(realTime!AL501="","",realTime!AL501)</f>
        <v/>
      </c>
      <c r="AM501" t="str">
        <f>IF(realTime!AM501="","",realTime!AM501)</f>
        <v/>
      </c>
      <c r="AN501" t="str">
        <f>IF(realTime!AN501="","",realTime!AN501)</f>
        <v/>
      </c>
    </row>
    <row r="502" spans="1:40" x14ac:dyDescent="0.35">
      <c r="A502" t="str">
        <f>IF(realTime!A502="","",realTime!A502)</f>
        <v/>
      </c>
      <c r="B502" t="str">
        <f>IF(realTime!B502="","",realTime!B502)</f>
        <v/>
      </c>
      <c r="C502" t="str">
        <f>IF(realTime!C502="","",realTime!C502)</f>
        <v/>
      </c>
      <c r="D502" t="str">
        <f>IF(realTime!D502="","",realTime!D502)</f>
        <v/>
      </c>
      <c r="E502" t="str">
        <f>IF(realTime!E502="","",realTime!E502)</f>
        <v/>
      </c>
      <c r="F502" t="str">
        <f>IF(realTime!F502="","",realTime!F502)</f>
        <v/>
      </c>
      <c r="G502" s="4" t="str">
        <f>IF(realTime!G502="","",realTime!G502)</f>
        <v/>
      </c>
      <c r="H502" t="str">
        <f>IF(realTime!H502="","",realTime!H502)</f>
        <v/>
      </c>
      <c r="I502" t="str">
        <f>IF(realTime!I502="","",realTime!I502)</f>
        <v/>
      </c>
      <c r="J502" s="4" t="str">
        <f>IF(realTime!J502="","",realTime!J502)</f>
        <v/>
      </c>
      <c r="K502" t="str">
        <f>IF(realTime!K502="","",realTime!K502)</f>
        <v/>
      </c>
      <c r="L502" t="str">
        <f>IF(realTime!L502="","",realTime!L502)</f>
        <v/>
      </c>
      <c r="M502" t="str">
        <f>IF(realTime!M502="","",realTime!M502)</f>
        <v/>
      </c>
      <c r="N502" s="4" t="str">
        <f>IF(realTime!N502="","",realTime!N502)</f>
        <v/>
      </c>
      <c r="O502" t="str">
        <f>IF(realTime!O502="","",realTime!O502)</f>
        <v/>
      </c>
      <c r="P502" t="str">
        <f>IF(realTime!P502="","",realTime!P502)</f>
        <v/>
      </c>
      <c r="Q502" s="4" t="str">
        <f>IF(realTime!Q502="","",realTime!Q502)</f>
        <v/>
      </c>
      <c r="R502" t="str">
        <f>IF(realTime!R502="","",realTime!R502)</f>
        <v/>
      </c>
      <c r="S502" t="str">
        <f>IF(realTime!S502="","",realTime!S502)</f>
        <v/>
      </c>
      <c r="T502" t="str">
        <f>IF(realTime!T502="","",realTime!T502)</f>
        <v/>
      </c>
      <c r="U502" s="4" t="str">
        <f>IF(realTime!U502="","",realTime!U502)</f>
        <v/>
      </c>
      <c r="V502" s="3" t="str">
        <f>IF(realTime!V502="","",realTime!V502)</f>
        <v/>
      </c>
      <c r="W502" t="str">
        <f>IF(realTime!W502="","",realTime!W502)</f>
        <v/>
      </c>
      <c r="X502" s="4" t="str">
        <f>IF(realTime!X502="","",realTime!X502)</f>
        <v/>
      </c>
      <c r="Y502" t="str">
        <f>IF(realTime!Y502="","",realTime!Y502)</f>
        <v/>
      </c>
      <c r="Z502" t="str">
        <f>IF(realTime!Z502="","",realTime!Z502)</f>
        <v/>
      </c>
      <c r="AA502" t="str">
        <f>IF(realTime!AA502="","",realTime!AA502)</f>
        <v/>
      </c>
      <c r="AB502" s="4" t="str">
        <f>IF(realTime!AB502="","",realTime!AB502)</f>
        <v/>
      </c>
      <c r="AC502" t="str">
        <f>IF(realTime!AC502="","",realTime!AC502)</f>
        <v/>
      </c>
      <c r="AD502" t="str">
        <f>IF(realTime!AD502="","",realTime!AD502)</f>
        <v/>
      </c>
      <c r="AE502" s="4" t="str">
        <f>IF(realTime!AE502="","",realTime!AE502)</f>
        <v/>
      </c>
      <c r="AF502" t="str">
        <f>IF(realTime!AF502="","",realTime!AF502)</f>
        <v/>
      </c>
      <c r="AG502" t="str">
        <f>IF(realTime!AG502="","",realTime!AG502)</f>
        <v/>
      </c>
      <c r="AH502" s="4" t="str">
        <f>IF(realTime!AH502="","",realTime!AH502)</f>
        <v/>
      </c>
      <c r="AI502" t="str">
        <f>IF(realTime!AI502="","",realTime!AI502)</f>
        <v/>
      </c>
      <c r="AJ502" t="str">
        <f>IF(realTime!AJ502="","",realTime!AJ502)</f>
        <v/>
      </c>
      <c r="AK502" t="str">
        <f>IF(realTime!AK502="","",realTime!AK502)</f>
        <v/>
      </c>
      <c r="AL502" t="str">
        <f>IF(realTime!AL502="","",realTime!AL502)</f>
        <v/>
      </c>
      <c r="AM502" t="str">
        <f>IF(realTime!AM502="","",realTime!AM502)</f>
        <v/>
      </c>
      <c r="AN502" t="str">
        <f>IF(realTime!AN502="","",realTime!AN502)</f>
        <v/>
      </c>
    </row>
  </sheetData>
  <mergeCells count="9">
    <mergeCell ref="R1:S1"/>
    <mergeCell ref="V1:W1"/>
    <mergeCell ref="Y1:Z1"/>
    <mergeCell ref="AF1:AG1"/>
    <mergeCell ref="A1:G1"/>
    <mergeCell ref="H1:I1"/>
    <mergeCell ref="K1:L1"/>
    <mergeCell ref="O1:P1"/>
    <mergeCell ref="AC1:AD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C98"/>
  <sheetViews>
    <sheetView workbookViewId="0">
      <pane ySplit="1" topLeftCell="A19" activePane="bottomLeft" state="frozen"/>
      <selection activeCell="F1" sqref="F1"/>
      <selection pane="bottomLeft" activeCell="I19" sqref="I19"/>
    </sheetView>
  </sheetViews>
  <sheetFormatPr defaultRowHeight="14.5" x14ac:dyDescent="0.35"/>
  <cols>
    <col min="1" max="1" width="20" bestFit="1" customWidth="1"/>
    <col min="2" max="3" width="12.453125" bestFit="1" customWidth="1"/>
    <col min="5" max="5" width="12.81640625" bestFit="1" customWidth="1"/>
    <col min="6" max="6" width="15" bestFit="1" customWidth="1"/>
    <col min="7" max="9" width="12.81640625" customWidth="1"/>
    <col min="10" max="10" width="16.1796875" bestFit="1" customWidth="1"/>
    <col min="11" max="11" width="12.81640625" customWidth="1"/>
    <col min="12" max="12" width="17.81640625" bestFit="1" customWidth="1"/>
    <col min="13" max="13" width="13.453125" bestFit="1" customWidth="1"/>
    <col min="14" max="14" width="17.54296875" bestFit="1" customWidth="1"/>
    <col min="15" max="20" width="12.81640625" customWidth="1"/>
    <col min="21" max="21" width="7.453125" customWidth="1"/>
    <col min="22" max="22" width="35.1796875" bestFit="1" customWidth="1"/>
    <col min="23" max="23" width="22.26953125" bestFit="1" customWidth="1"/>
    <col min="25" max="25" width="18.7265625" bestFit="1" customWidth="1"/>
    <col min="26" max="26" width="20.54296875" bestFit="1" customWidth="1"/>
  </cols>
  <sheetData>
    <row r="1" spans="1:29" x14ac:dyDescent="0.35">
      <c r="A1" s="14" t="s">
        <v>2</v>
      </c>
      <c r="B1" s="15" t="s">
        <v>724</v>
      </c>
      <c r="C1" s="15" t="s">
        <v>725</v>
      </c>
      <c r="D1" s="15" t="s">
        <v>5</v>
      </c>
      <c r="E1" s="15" t="s">
        <v>12</v>
      </c>
      <c r="F1" s="15" t="s">
        <v>726</v>
      </c>
      <c r="G1" s="15" t="s">
        <v>7</v>
      </c>
      <c r="H1" s="15" t="s">
        <v>9</v>
      </c>
      <c r="I1" s="46" t="s">
        <v>11</v>
      </c>
      <c r="J1" s="46" t="s">
        <v>727</v>
      </c>
      <c r="K1" s="46" t="s">
        <v>728</v>
      </c>
      <c r="L1" s="46" t="s">
        <v>729</v>
      </c>
      <c r="M1" s="46" t="s">
        <v>730</v>
      </c>
      <c r="N1" s="46" t="s">
        <v>731</v>
      </c>
      <c r="O1" s="46" t="s">
        <v>732</v>
      </c>
      <c r="P1" s="46" t="s">
        <v>732</v>
      </c>
      <c r="Q1" s="46" t="s">
        <v>16</v>
      </c>
      <c r="R1" s="46" t="s">
        <v>733</v>
      </c>
      <c r="S1" s="46" t="s">
        <v>734</v>
      </c>
      <c r="T1" s="46" t="s">
        <v>735</v>
      </c>
      <c r="U1" s="6"/>
      <c r="V1" s="16" t="s">
        <v>736</v>
      </c>
      <c r="W1" s="17" t="s">
        <v>737</v>
      </c>
      <c r="Y1" s="16" t="s">
        <v>738</v>
      </c>
      <c r="Z1" s="18"/>
    </row>
    <row r="2" spans="1:29" x14ac:dyDescent="0.35">
      <c r="A2" s="19" t="s">
        <v>739</v>
      </c>
      <c r="B2" s="4" t="s">
        <v>740</v>
      </c>
      <c r="C2" s="4" t="s">
        <v>741</v>
      </c>
      <c r="D2" s="4" t="s">
        <v>742</v>
      </c>
      <c r="E2" s="4" t="s">
        <v>743</v>
      </c>
      <c r="F2" s="20" t="s">
        <v>744</v>
      </c>
      <c r="G2" s="4"/>
      <c r="H2" s="4" t="str">
        <f>"0#" &amp; B2 &amp; "TSY="</f>
        <v>0#AUTSY=</v>
      </c>
      <c r="I2" s="4" t="str">
        <f>D2&amp;"IRS"</f>
        <v>AUDIRS</v>
      </c>
      <c r="J2" s="4" t="s">
        <v>745</v>
      </c>
      <c r="K2" s="4" t="s">
        <v>746</v>
      </c>
      <c r="L2" s="4" t="s">
        <v>747</v>
      </c>
      <c r="M2" s="4"/>
      <c r="N2" s="4"/>
      <c r="O2" s="4"/>
      <c r="P2" s="4"/>
      <c r="Q2" s="4" t="str">
        <f>D2</f>
        <v>AUD</v>
      </c>
      <c r="R2" s="4" t="s">
        <v>748</v>
      </c>
      <c r="S2" s="4" t="s">
        <v>749</v>
      </c>
      <c r="T2" s="4" t="s">
        <v>750</v>
      </c>
      <c r="V2" s="19" t="s">
        <v>751</v>
      </c>
      <c r="W2" s="20" t="s">
        <v>752</v>
      </c>
      <c r="Y2" s="21" t="s">
        <v>753</v>
      </c>
      <c r="Z2" s="22" t="s">
        <v>754</v>
      </c>
      <c r="AA2" t="str">
        <f>parseStructureIRS(AC2,"CCM:","LFIXED")</f>
        <v>MMA5</v>
      </c>
      <c r="AB2" t="str">
        <f>parseStructureIRS(AC2,"CCM:","LFLOAT")</f>
        <v>MMA5</v>
      </c>
      <c r="AC2" t="str">
        <f>_xll.AdStyleStructure("IRS",E2)</f>
        <v>PAID:FIXED LBOTH SETTLE:1WD CCM:MMA5 DMC:CMF15 EMC:S CFADJ:YES REFDATE:MATURITY CLDR:AUS PDELAY:0 FRQ:4</v>
      </c>
    </row>
    <row r="3" spans="1:29" x14ac:dyDescent="0.35">
      <c r="A3" s="19" t="s">
        <v>755</v>
      </c>
      <c r="B3" s="4" t="s">
        <v>756</v>
      </c>
      <c r="C3" s="4" t="s">
        <v>757</v>
      </c>
      <c r="D3" s="4" t="s">
        <v>579</v>
      </c>
      <c r="E3" s="4" t="s">
        <v>593</v>
      </c>
      <c r="F3" s="20" t="s">
        <v>758</v>
      </c>
      <c r="G3" s="4"/>
      <c r="H3" s="4" t="str">
        <f>"0#" &amp; B3 &amp; "TSY="</f>
        <v>0#ATTSY=</v>
      </c>
      <c r="I3" s="4" t="str">
        <f>D3&amp;"IRS"</f>
        <v>EURIRS</v>
      </c>
      <c r="J3" s="4" t="s">
        <v>581</v>
      </c>
      <c r="K3" s="4" t="s">
        <v>759</v>
      </c>
      <c r="L3" s="4" t="s">
        <v>760</v>
      </c>
      <c r="M3" s="4" t="s">
        <v>761</v>
      </c>
      <c r="N3" s="4" t="s">
        <v>762</v>
      </c>
      <c r="O3" s="4" t="s">
        <v>763</v>
      </c>
      <c r="P3" s="4"/>
      <c r="Q3" s="4" t="str">
        <f t="shared" ref="Q3:Q63" si="0">D3</f>
        <v>EUR</v>
      </c>
      <c r="R3" s="4" t="s">
        <v>764</v>
      </c>
      <c r="S3" s="4" t="s">
        <v>765</v>
      </c>
      <c r="T3" s="4" t="s">
        <v>766</v>
      </c>
      <c r="V3" s="19" t="s">
        <v>767</v>
      </c>
      <c r="W3" s="20" t="s">
        <v>752</v>
      </c>
      <c r="Y3" s="19" t="s">
        <v>45</v>
      </c>
      <c r="Z3" s="20" t="s">
        <v>45</v>
      </c>
      <c r="AA3" t="str">
        <f t="shared" ref="AA3:AA63" si="1">parseStructureIRS(AC3,"CCM:","LFIXED")</f>
        <v>BB00</v>
      </c>
      <c r="AB3" t="str">
        <f t="shared" ref="AB3:AB63" si="2">parseStructureIRS(AC3,"CCM:","LFLOAT")</f>
        <v>MMA0</v>
      </c>
      <c r="AC3" t="str">
        <f>_xll.AdStyleStructure("IRS",E3)</f>
        <v>PAID:FIXED LBOTH SETTLE:2WD DMC:M EMC:S CFADJ:YES REFDATE:MATURITY CLDR:EMU PDELAY:0 LFIXED FRQ:1 CCM:BB00 LFLOAT FRQ:2 CCM:MMA0</v>
      </c>
    </row>
    <row r="4" spans="1:29" x14ac:dyDescent="0.35">
      <c r="A4" s="19" t="s">
        <v>768</v>
      </c>
      <c r="B4" s="4" t="s">
        <v>769</v>
      </c>
      <c r="C4" s="4" t="s">
        <v>770</v>
      </c>
      <c r="D4" s="4" t="s">
        <v>771</v>
      </c>
      <c r="E4" s="4" t="s">
        <v>772</v>
      </c>
      <c r="F4" s="20"/>
      <c r="G4" s="4"/>
      <c r="H4" s="4" t="str">
        <f>"0#" &amp; B4 &amp; "TSY="</f>
        <v>0#BDTSY=</v>
      </c>
      <c r="I4" s="4"/>
      <c r="J4" s="4"/>
      <c r="K4" s="4"/>
      <c r="L4" s="4"/>
      <c r="M4" s="4"/>
      <c r="N4" s="4"/>
      <c r="O4" s="4"/>
      <c r="P4" s="4"/>
      <c r="Q4" s="4" t="str">
        <f t="shared" si="0"/>
        <v>BDT</v>
      </c>
      <c r="R4" s="4"/>
      <c r="S4" s="4"/>
      <c r="T4" s="4"/>
      <c r="V4" s="19" t="s">
        <v>773</v>
      </c>
      <c r="W4" s="20" t="s">
        <v>774</v>
      </c>
      <c r="Y4" s="19" t="s">
        <v>48</v>
      </c>
      <c r="Z4" s="20" t="s">
        <v>48</v>
      </c>
      <c r="AB4" t="e">
        <f t="shared" si="2"/>
        <v>#VALUE!</v>
      </c>
      <c r="AC4" t="str">
        <f>_xll.AdStyleStructure("IRS",E4)</f>
        <v>ERROR 3050 - StyleCode : invalid value.</v>
      </c>
    </row>
    <row r="5" spans="1:29" x14ac:dyDescent="0.35">
      <c r="A5" s="19" t="s">
        <v>775</v>
      </c>
      <c r="B5" s="4" t="s">
        <v>776</v>
      </c>
      <c r="C5" s="4" t="s">
        <v>777</v>
      </c>
      <c r="D5" s="4" t="s">
        <v>579</v>
      </c>
      <c r="E5" s="4" t="s">
        <v>593</v>
      </c>
      <c r="F5" s="20" t="s">
        <v>758</v>
      </c>
      <c r="G5" s="4" t="str">
        <f t="shared" ref="G5:G28" si="3">"0#" &amp; B5 &amp; "TSYS="</f>
        <v>0#BETSYS=</v>
      </c>
      <c r="H5" s="4" t="str">
        <f>"0#" &amp; B5 &amp; "TSY="</f>
        <v>0#BETSY=</v>
      </c>
      <c r="I5" s="4" t="str">
        <f>D5&amp;"IRS"</f>
        <v>EURIRS</v>
      </c>
      <c r="J5" s="4" t="s">
        <v>581</v>
      </c>
      <c r="K5" s="4" t="s">
        <v>759</v>
      </c>
      <c r="L5" s="4" t="s">
        <v>760</v>
      </c>
      <c r="M5" s="4" t="s">
        <v>761</v>
      </c>
      <c r="N5" s="4" t="s">
        <v>762</v>
      </c>
      <c r="O5" s="4" t="s">
        <v>763</v>
      </c>
      <c r="P5" s="4"/>
      <c r="Q5" s="4" t="str">
        <f t="shared" si="0"/>
        <v>EUR</v>
      </c>
      <c r="R5" s="55" t="s">
        <v>778</v>
      </c>
      <c r="S5" s="4" t="s">
        <v>779</v>
      </c>
      <c r="T5" s="4" t="s">
        <v>780</v>
      </c>
      <c r="V5" s="19" t="s">
        <v>781</v>
      </c>
      <c r="W5" s="20" t="s">
        <v>782</v>
      </c>
      <c r="Y5" s="19" t="s">
        <v>54</v>
      </c>
      <c r="Z5" s="20" t="s">
        <v>54</v>
      </c>
      <c r="AA5" t="str">
        <f t="shared" si="1"/>
        <v>BB00</v>
      </c>
      <c r="AB5" t="str">
        <f t="shared" si="2"/>
        <v>MMA0</v>
      </c>
      <c r="AC5" t="str">
        <f>_xll.AdStyleStructure("IRS",E5)</f>
        <v>PAID:FIXED LBOTH SETTLE:2WD DMC:M EMC:S CFADJ:YES REFDATE:MATURITY CLDR:EMU PDELAY:0 LFIXED FRQ:1 CCM:BB00 LFLOAT FRQ:2 CCM:MMA0</v>
      </c>
    </row>
    <row r="6" spans="1:29" x14ac:dyDescent="0.35">
      <c r="A6" s="19" t="s">
        <v>783</v>
      </c>
      <c r="B6" s="4" t="s">
        <v>784</v>
      </c>
      <c r="C6" s="4" t="s">
        <v>785</v>
      </c>
      <c r="D6" s="4" t="s">
        <v>786</v>
      </c>
      <c r="E6" s="4" t="s">
        <v>787</v>
      </c>
      <c r="F6" s="20"/>
      <c r="G6" s="4"/>
      <c r="H6" s="4" t="str">
        <f>"0#" &amp; B6 &amp; "TSY="</f>
        <v>0#BRTSY=</v>
      </c>
      <c r="I6" s="4"/>
      <c r="J6" s="4"/>
      <c r="K6" s="4"/>
      <c r="L6" s="4"/>
      <c r="M6" s="4"/>
      <c r="N6" s="4"/>
      <c r="O6" s="4"/>
      <c r="P6" s="4"/>
      <c r="Q6" s="4" t="str">
        <f t="shared" si="0"/>
        <v>BRL</v>
      </c>
      <c r="R6" s="4"/>
      <c r="S6" s="4"/>
      <c r="T6" s="4"/>
      <c r="V6" s="19" t="s">
        <v>788</v>
      </c>
      <c r="W6" s="20" t="s">
        <v>789</v>
      </c>
      <c r="Y6" s="19" t="s">
        <v>60</v>
      </c>
      <c r="Z6" s="20" t="s">
        <v>60</v>
      </c>
      <c r="AB6" t="str">
        <f t="shared" si="2"/>
        <v>MMW252</v>
      </c>
      <c r="AC6" t="str">
        <f>_xll.AdStyleStructure("IRS",E6)</f>
        <v>PAID:FIXED LBOTH SETTLE:0WD DMC:F EMC:S CFADJ:NO REFDATE:MATURITY CLDR:BRA_FI PDELAY:0 FRQ:1 CCM:MMW252 INDEXCM:CMP LFLOAT RESETFRQ:1D IDX:DIJS*</v>
      </c>
    </row>
    <row r="7" spans="1:29" x14ac:dyDescent="0.35">
      <c r="A7" s="19" t="s">
        <v>790</v>
      </c>
      <c r="B7" s="4" t="s">
        <v>791</v>
      </c>
      <c r="C7" s="4" t="s">
        <v>792</v>
      </c>
      <c r="D7" s="4" t="s">
        <v>793</v>
      </c>
      <c r="E7" s="4" t="s">
        <v>794</v>
      </c>
      <c r="F7" s="20"/>
      <c r="G7" s="4"/>
      <c r="H7" s="4"/>
      <c r="I7" s="4" t="str">
        <f>D7&amp;"IRS"</f>
        <v>BGNIRS</v>
      </c>
      <c r="J7" s="4"/>
      <c r="K7" s="4"/>
      <c r="L7" s="4"/>
      <c r="M7" s="4"/>
      <c r="N7" s="4"/>
      <c r="O7" s="4"/>
      <c r="P7" s="4"/>
      <c r="Q7" s="4" t="str">
        <f t="shared" si="0"/>
        <v>BGN</v>
      </c>
      <c r="R7" s="4"/>
      <c r="S7" s="4"/>
      <c r="T7" s="4"/>
      <c r="V7" s="19" t="s">
        <v>795</v>
      </c>
      <c r="W7" s="20" t="s">
        <v>796</v>
      </c>
      <c r="X7" s="23"/>
      <c r="Y7" s="19" t="s">
        <v>797</v>
      </c>
      <c r="Z7" s="20" t="s">
        <v>797</v>
      </c>
      <c r="AA7" t="str">
        <f t="shared" si="1"/>
        <v>BBA5</v>
      </c>
      <c r="AB7" t="str">
        <f t="shared" si="2"/>
        <v>BBA5</v>
      </c>
      <c r="AC7" t="str">
        <f>_xll.AdStyleStructure("IRS",E7)</f>
        <v>PAID:FIXED LBOTH SETTLE:0WD DMC:M EMC:S CFADJ:YES REFDATE:MATURITY CLDR:BUL PDELAY:0 LPAID LTYPE:FIXED CCM:BBA5 FRQ:1 LRECEIVED LTYPE:FLOAT CCM:MM00 FRQ:4</v>
      </c>
    </row>
    <row r="8" spans="1:29" x14ac:dyDescent="0.35">
      <c r="A8" s="19" t="s">
        <v>798</v>
      </c>
      <c r="B8" s="4" t="s">
        <v>799</v>
      </c>
      <c r="C8" s="4" t="s">
        <v>800</v>
      </c>
      <c r="D8" s="4" t="s">
        <v>801</v>
      </c>
      <c r="E8" s="4" t="s">
        <v>802</v>
      </c>
      <c r="F8" s="20" t="s">
        <v>803</v>
      </c>
      <c r="G8" s="4"/>
      <c r="H8" s="4" t="str">
        <f>"0#" &amp; B8 &amp; "TSY="</f>
        <v>0#CATSY=</v>
      </c>
      <c r="I8" s="4" t="str">
        <f>D8&amp;"IRS"</f>
        <v>CADIRS</v>
      </c>
      <c r="J8" s="4" t="s">
        <v>804</v>
      </c>
      <c r="K8" s="4" t="s">
        <v>805</v>
      </c>
      <c r="L8" s="4" t="s">
        <v>806</v>
      </c>
      <c r="M8" s="4"/>
      <c r="N8" s="4"/>
      <c r="O8" s="4"/>
      <c r="P8" s="4"/>
      <c r="Q8" s="4" t="str">
        <f t="shared" si="0"/>
        <v>CAD</v>
      </c>
      <c r="R8" s="55" t="s">
        <v>807</v>
      </c>
      <c r="S8" s="4"/>
      <c r="T8" s="4"/>
      <c r="V8" s="19" t="s">
        <v>808</v>
      </c>
      <c r="W8" s="20" t="s">
        <v>809</v>
      </c>
      <c r="X8" s="23"/>
      <c r="Y8" s="19" t="s">
        <v>65</v>
      </c>
      <c r="Z8" s="20" t="s">
        <v>65</v>
      </c>
      <c r="AA8" t="str">
        <f t="shared" si="1"/>
        <v>BBA5</v>
      </c>
      <c r="AB8" t="str">
        <f t="shared" si="2"/>
        <v>MMA5</v>
      </c>
      <c r="AC8" t="str">
        <f>_xll.AdStyleStructure("IRS",E8)</f>
        <v>PAID:FIXED LBOTH SETTLE:0WD DMC:M EMC:S CFADJ:YES REFDATE:MATURITY CLDR:CAN PDELAY:0 LFIXED CCM:BBA5 FRQ:2 LFLOAT CCM:MMA5 FRQ:4 RESETFRQ:4</v>
      </c>
    </row>
    <row r="9" spans="1:29" x14ac:dyDescent="0.35">
      <c r="A9" s="19" t="s">
        <v>810</v>
      </c>
      <c r="B9" s="4" t="s">
        <v>811</v>
      </c>
      <c r="C9" s="4" t="s">
        <v>812</v>
      </c>
      <c r="D9" s="4" t="s">
        <v>813</v>
      </c>
      <c r="E9" s="4" t="s">
        <v>814</v>
      </c>
      <c r="F9" s="20" t="s">
        <v>815</v>
      </c>
      <c r="G9" s="4"/>
      <c r="H9" s="4" t="str">
        <f>"0#" &amp; B9 &amp; "TSY="</f>
        <v>0#CLTSY=</v>
      </c>
      <c r="I9" s="4"/>
      <c r="J9" s="4"/>
      <c r="K9" s="4" t="s">
        <v>816</v>
      </c>
      <c r="L9" s="4" t="s">
        <v>817</v>
      </c>
      <c r="M9" s="4"/>
      <c r="N9" s="4"/>
      <c r="O9" s="4"/>
      <c r="P9" s="4"/>
      <c r="Q9" s="4" t="str">
        <f t="shared" si="0"/>
        <v>CLP</v>
      </c>
      <c r="R9" s="4"/>
      <c r="S9" s="4"/>
      <c r="T9" s="4"/>
      <c r="V9" s="19" t="s">
        <v>818</v>
      </c>
      <c r="W9" s="20" t="s">
        <v>819</v>
      </c>
      <c r="X9" s="23"/>
      <c r="Y9" s="4" t="s">
        <v>820</v>
      </c>
      <c r="Z9" s="20" t="s">
        <v>820</v>
      </c>
      <c r="AA9" t="str">
        <f t="shared" si="1"/>
        <v>MMA0</v>
      </c>
      <c r="AB9" t="str">
        <f t="shared" si="2"/>
        <v>MMA0</v>
      </c>
      <c r="AC9" t="str">
        <f>_xll.AdStyleStructure("IRS",E9)</f>
        <v>PAID:FIXED LBOTH SETTLE:0WD CCM:MMA0 DMC:M EMC:S CFADJ:YES REFDATE:MATURITY CLDR:CHI PDELAY:0 LFIXED FRQ:1 LFLOAT FRQ:1</v>
      </c>
    </row>
    <row r="10" spans="1:29" x14ac:dyDescent="0.35">
      <c r="A10" s="19" t="s">
        <v>821</v>
      </c>
      <c r="B10" s="4" t="s">
        <v>822</v>
      </c>
      <c r="C10" s="4" t="s">
        <v>823</v>
      </c>
      <c r="D10" s="4" t="s">
        <v>824</v>
      </c>
      <c r="E10" s="4" t="s">
        <v>825</v>
      </c>
      <c r="F10" s="20" t="s">
        <v>826</v>
      </c>
      <c r="G10" s="4"/>
      <c r="H10" s="4" t="str">
        <f>"0#" &amp; B10 &amp; "TSY="</f>
        <v>0#CNTSY=</v>
      </c>
      <c r="I10" s="4" t="str">
        <f>D10&amp;"IRS"</f>
        <v>CNYIRS</v>
      </c>
      <c r="J10" s="4"/>
      <c r="K10" s="4"/>
      <c r="L10" s="4"/>
      <c r="M10" s="4"/>
      <c r="N10" s="4"/>
      <c r="O10" s="4"/>
      <c r="P10" s="4"/>
      <c r="Q10" s="4" t="str">
        <f t="shared" si="0"/>
        <v>CNY</v>
      </c>
      <c r="R10" s="4"/>
      <c r="S10" s="4"/>
      <c r="T10" s="4"/>
      <c r="V10" s="19" t="s">
        <v>827</v>
      </c>
      <c r="W10" s="20" t="s">
        <v>828</v>
      </c>
      <c r="X10" s="23"/>
      <c r="Y10" s="4"/>
      <c r="Z10" s="20"/>
      <c r="AA10" t="str">
        <f t="shared" si="1"/>
        <v>MMA5</v>
      </c>
      <c r="AB10" t="str">
        <f t="shared" si="2"/>
        <v>MMA0</v>
      </c>
      <c r="AC10" t="str">
        <f>_xll.AdStyleStructure("IRS",E10)</f>
        <v>PAID:FIXED LBOTH SETTLE:0WD DMC:M EMC:S CFADJ:YES REFDATE:MATURITY CLDR:CHN_FI PDELAY:0 LFIXED FRQ:4 CCM:MMA5 LFLOAT FRQ:4 CCM:MMA0</v>
      </c>
    </row>
    <row r="11" spans="1:29" x14ac:dyDescent="0.35">
      <c r="A11" s="19" t="s">
        <v>829</v>
      </c>
      <c r="B11" s="4" t="s">
        <v>830</v>
      </c>
      <c r="C11" s="4" t="s">
        <v>831</v>
      </c>
      <c r="D11" s="4" t="s">
        <v>832</v>
      </c>
      <c r="E11" s="4" t="s">
        <v>833</v>
      </c>
      <c r="F11" s="20"/>
      <c r="G11" s="4" t="str">
        <f t="shared" si="3"/>
        <v>0#HRTSYS=</v>
      </c>
      <c r="H11" s="4" t="str">
        <f>"0#" &amp; B11 &amp; "TSY="</f>
        <v>0#HRTSY=</v>
      </c>
      <c r="I11" s="4"/>
      <c r="J11" s="4"/>
      <c r="K11" s="4"/>
      <c r="L11" s="4"/>
      <c r="M11" s="4"/>
      <c r="N11" s="4"/>
      <c r="O11" s="4"/>
      <c r="P11" s="4"/>
      <c r="Q11" s="4" t="str">
        <f t="shared" si="0"/>
        <v>HRK</v>
      </c>
      <c r="R11" s="4"/>
      <c r="S11" s="4"/>
      <c r="T11" s="4"/>
      <c r="V11" s="19" t="s">
        <v>834</v>
      </c>
      <c r="W11" s="20" t="s">
        <v>835</v>
      </c>
      <c r="X11" s="23"/>
      <c r="Y11" s="4"/>
      <c r="Z11" s="20"/>
      <c r="AA11" t="str">
        <f t="shared" si="1"/>
        <v>BBA5</v>
      </c>
      <c r="AB11" t="str">
        <f t="shared" si="2"/>
        <v>MMA5</v>
      </c>
      <c r="AC11" t="str">
        <f>_xll.AdStyleStructure("IRS",E11)</f>
        <v>PAID:FIXED LBOTH SETTLE:0WD DMC:M EMC:S CFADJ:YES REFDATE:MATURITY CLDR:CRO PDELAY:0 LFIXED FRQ:1 CCM:BBA5 LFLOAT FRQ:4 CCM:MMA5</v>
      </c>
    </row>
    <row r="12" spans="1:29" x14ac:dyDescent="0.35">
      <c r="A12" s="19" t="s">
        <v>836</v>
      </c>
      <c r="B12" s="4" t="s">
        <v>837</v>
      </c>
      <c r="C12" s="4" t="s">
        <v>838</v>
      </c>
      <c r="D12" s="4" t="s">
        <v>579</v>
      </c>
      <c r="E12" s="4" t="s">
        <v>593</v>
      </c>
      <c r="F12" s="20"/>
      <c r="G12" s="4"/>
      <c r="H12" s="4"/>
      <c r="I12" s="4" t="str">
        <f t="shared" ref="I12:I13" si="4">D12&amp;"IRS"</f>
        <v>EURIRS</v>
      </c>
      <c r="J12" s="4" t="s">
        <v>581</v>
      </c>
      <c r="K12" s="4" t="s">
        <v>759</v>
      </c>
      <c r="L12" s="4" t="s">
        <v>760</v>
      </c>
      <c r="M12" s="4" t="s">
        <v>761</v>
      </c>
      <c r="N12" s="4" t="s">
        <v>762</v>
      </c>
      <c r="O12" s="4" t="s">
        <v>763</v>
      </c>
      <c r="P12" s="4"/>
      <c r="Q12" s="4" t="str">
        <f t="shared" si="0"/>
        <v>EUR</v>
      </c>
      <c r="R12" s="4"/>
      <c r="S12" s="4"/>
      <c r="T12" s="4"/>
      <c r="V12" s="19" t="s">
        <v>839</v>
      </c>
      <c r="W12" s="20" t="s">
        <v>835</v>
      </c>
      <c r="X12" s="23"/>
      <c r="Y12" s="4"/>
      <c r="Z12" s="20"/>
      <c r="AA12" t="str">
        <f t="shared" si="1"/>
        <v>BB00</v>
      </c>
      <c r="AB12" t="str">
        <f t="shared" si="2"/>
        <v>MMA0</v>
      </c>
      <c r="AC12" t="str">
        <f>_xll.AdStyleStructure("IRS",E12)</f>
        <v>PAID:FIXED LBOTH SETTLE:2WD DMC:M EMC:S CFADJ:YES REFDATE:MATURITY CLDR:EMU PDELAY:0 LFIXED FRQ:1 CCM:BB00 LFLOAT FRQ:2 CCM:MMA0</v>
      </c>
    </row>
    <row r="13" spans="1:29" x14ac:dyDescent="0.35">
      <c r="A13" s="19" t="s">
        <v>840</v>
      </c>
      <c r="B13" s="4" t="s">
        <v>841</v>
      </c>
      <c r="C13" s="4" t="s">
        <v>842</v>
      </c>
      <c r="D13" s="4" t="s">
        <v>843</v>
      </c>
      <c r="E13" s="4" t="s">
        <v>844</v>
      </c>
      <c r="F13" s="20" t="s">
        <v>845</v>
      </c>
      <c r="G13" s="4" t="str">
        <f t="shared" ref="G13" si="5">"0#" &amp; B13 &amp; "TSYS="</f>
        <v>0#CZTSYS=</v>
      </c>
      <c r="H13" s="4" t="str">
        <f>"0#" &amp; B13 &amp; "TSY="</f>
        <v>0#CZTSY=</v>
      </c>
      <c r="I13" s="4" t="str">
        <f t="shared" si="4"/>
        <v>CZKIRS</v>
      </c>
      <c r="J13" s="4" t="s">
        <v>846</v>
      </c>
      <c r="K13" s="4" t="s">
        <v>847</v>
      </c>
      <c r="L13" s="4" t="s">
        <v>848</v>
      </c>
      <c r="M13" s="4"/>
      <c r="N13" s="4"/>
      <c r="O13" s="4"/>
      <c r="P13" s="4"/>
      <c r="Q13" s="4" t="str">
        <f t="shared" si="0"/>
        <v>CZK</v>
      </c>
      <c r="R13" s="4"/>
      <c r="S13" s="4"/>
      <c r="T13" s="4"/>
      <c r="V13" s="19" t="s">
        <v>602</v>
      </c>
      <c r="W13" s="20" t="s">
        <v>605</v>
      </c>
      <c r="X13" s="23"/>
      <c r="Y13" s="4"/>
      <c r="Z13" s="20"/>
      <c r="AA13" t="str">
        <f t="shared" si="1"/>
        <v>MMA0</v>
      </c>
      <c r="AB13" t="str">
        <f t="shared" si="2"/>
        <v>MMA0</v>
      </c>
      <c r="AC13" t="str">
        <f>_xll.AdStyleStructure("IRS",E13)</f>
        <v>PAID:FIXED LBOTH SETTLE:2WD CCM:MMA0 DMC:M EMC:S CFADJ:YES REFDATE:MATURITY CLDR:CZE PDELAY:0 LFIXED FRQ:1 LFLOAT FRQ:2</v>
      </c>
    </row>
    <row r="14" spans="1:29" x14ac:dyDescent="0.35">
      <c r="A14" s="19" t="s">
        <v>849</v>
      </c>
      <c r="B14" s="4" t="s">
        <v>850</v>
      </c>
      <c r="C14" s="4" t="s">
        <v>851</v>
      </c>
      <c r="D14" s="4" t="s">
        <v>852</v>
      </c>
      <c r="E14" s="4" t="s">
        <v>853</v>
      </c>
      <c r="F14" s="20" t="s">
        <v>854</v>
      </c>
      <c r="G14" s="4"/>
      <c r="H14" s="4" t="str">
        <f>"0#" &amp; B14 &amp; "TSY="</f>
        <v>0#DKTSY=</v>
      </c>
      <c r="I14" s="4" t="str">
        <f>D14&amp;"IRS"</f>
        <v>DKKIRS</v>
      </c>
      <c r="J14" s="4" t="s">
        <v>855</v>
      </c>
      <c r="K14" s="4" t="s">
        <v>856</v>
      </c>
      <c r="L14" s="4" t="s">
        <v>857</v>
      </c>
      <c r="M14" s="4"/>
      <c r="N14" s="4" t="s">
        <v>858</v>
      </c>
      <c r="O14" s="4"/>
      <c r="P14" s="4"/>
      <c r="Q14" s="4" t="str">
        <f t="shared" si="0"/>
        <v>DKK</v>
      </c>
      <c r="R14" s="4" t="s">
        <v>859</v>
      </c>
      <c r="S14" s="4" t="s">
        <v>860</v>
      </c>
      <c r="T14" s="4" t="s">
        <v>861</v>
      </c>
      <c r="V14" s="19" t="s">
        <v>862</v>
      </c>
      <c r="W14" s="20" t="s">
        <v>835</v>
      </c>
      <c r="X14" s="23"/>
      <c r="Y14" s="4"/>
      <c r="Z14" s="20"/>
      <c r="AA14" t="str">
        <f t="shared" si="1"/>
        <v>BB00</v>
      </c>
      <c r="AB14" t="str">
        <f t="shared" si="2"/>
        <v>MMA0</v>
      </c>
      <c r="AC14" t="str">
        <f>_xll.AdStyleStructure("IRS",E14)</f>
        <v>PAID:FIXED LBOTH SETTLE:2WD DMC:M EMC:S CFADJ:YES REFDATE:MATURITY CLDR:DEN PDELAY:0 LFIXED FRQ:1 CCM:BB00 LFLOAT FRQ:2 CCM:MMA0</v>
      </c>
    </row>
    <row r="15" spans="1:29" x14ac:dyDescent="0.35">
      <c r="A15" s="19" t="s">
        <v>863</v>
      </c>
      <c r="B15" s="4" t="s">
        <v>864</v>
      </c>
      <c r="C15" s="4" t="s">
        <v>865</v>
      </c>
      <c r="D15" s="4" t="s">
        <v>866</v>
      </c>
      <c r="E15" s="4" t="s">
        <v>772</v>
      </c>
      <c r="F15" s="20"/>
      <c r="G15" s="4" t="str">
        <f t="shared" si="3"/>
        <v>0#EGTSYS=</v>
      </c>
      <c r="H15" s="4" t="str">
        <f>"0#" &amp; B15 &amp; "TSY="</f>
        <v>0#EGTSY=</v>
      </c>
      <c r="I15" s="4"/>
      <c r="J15" s="4"/>
      <c r="K15" s="4"/>
      <c r="L15" s="4"/>
      <c r="M15" s="4"/>
      <c r="N15" s="4" t="s">
        <v>867</v>
      </c>
      <c r="O15" s="4"/>
      <c r="P15" s="4"/>
      <c r="Q15" s="4" t="str">
        <f t="shared" si="0"/>
        <v>EGP</v>
      </c>
      <c r="R15" s="4"/>
      <c r="S15" s="4"/>
      <c r="T15" s="4"/>
      <c r="V15" s="19" t="s">
        <v>868</v>
      </c>
      <c r="W15" s="20" t="s">
        <v>835</v>
      </c>
      <c r="X15" s="23"/>
      <c r="Y15" s="4"/>
      <c r="Z15" s="20"/>
      <c r="AB15" t="e">
        <f t="shared" si="2"/>
        <v>#VALUE!</v>
      </c>
      <c r="AC15" t="str">
        <f>_xll.AdStyleStructure("IRS",E15)</f>
        <v>ERROR 3050 - StyleCode : invalid value.</v>
      </c>
    </row>
    <row r="16" spans="1:29" x14ac:dyDescent="0.35">
      <c r="A16" s="19" t="s">
        <v>869</v>
      </c>
      <c r="B16" s="4" t="s">
        <v>870</v>
      </c>
      <c r="C16" s="4" t="s">
        <v>871</v>
      </c>
      <c r="D16" s="4" t="s">
        <v>579</v>
      </c>
      <c r="E16" s="4" t="s">
        <v>593</v>
      </c>
      <c r="F16" s="20" t="s">
        <v>758</v>
      </c>
      <c r="G16" s="4"/>
      <c r="H16" s="4"/>
      <c r="I16" s="4" t="str">
        <f t="shared" ref="I16:I21" si="6">D16&amp;"IRS"</f>
        <v>EURIRS</v>
      </c>
      <c r="J16" s="4" t="s">
        <v>581</v>
      </c>
      <c r="K16" s="4" t="s">
        <v>759</v>
      </c>
      <c r="L16" s="4" t="s">
        <v>760</v>
      </c>
      <c r="M16" s="4" t="s">
        <v>761</v>
      </c>
      <c r="N16" s="4" t="s">
        <v>762</v>
      </c>
      <c r="O16" s="4" t="s">
        <v>763</v>
      </c>
      <c r="P16" s="4"/>
      <c r="Q16" s="4" t="str">
        <f t="shared" si="0"/>
        <v>EUR</v>
      </c>
      <c r="R16" s="4"/>
      <c r="S16" s="4"/>
      <c r="T16" s="4"/>
      <c r="V16" s="19" t="s">
        <v>872</v>
      </c>
      <c r="W16" s="20" t="s">
        <v>835</v>
      </c>
      <c r="X16" s="23"/>
      <c r="Y16" s="4"/>
      <c r="Z16" s="20"/>
      <c r="AA16" t="str">
        <f t="shared" si="1"/>
        <v>BB00</v>
      </c>
      <c r="AB16" t="str">
        <f t="shared" si="2"/>
        <v>MMA0</v>
      </c>
      <c r="AC16" t="str">
        <f>_xll.AdStyleStructure("IRS",E16)</f>
        <v>PAID:FIXED LBOTH SETTLE:2WD DMC:M EMC:S CFADJ:YES REFDATE:MATURITY CLDR:EMU PDELAY:0 LFIXED FRQ:1 CCM:BB00 LFLOAT FRQ:2 CCM:MMA0</v>
      </c>
    </row>
    <row r="17" spans="1:29" x14ac:dyDescent="0.35">
      <c r="A17" s="19" t="s">
        <v>873</v>
      </c>
      <c r="B17" s="4" t="s">
        <v>874</v>
      </c>
      <c r="C17" s="4" t="s">
        <v>875</v>
      </c>
      <c r="D17" s="4" t="s">
        <v>579</v>
      </c>
      <c r="E17" s="4" t="s">
        <v>593</v>
      </c>
      <c r="F17" s="20" t="s">
        <v>758</v>
      </c>
      <c r="G17" s="4"/>
      <c r="H17" s="4" t="str">
        <f t="shared" ref="H17:H22" si="7">"0#" &amp; B17 &amp; "TSY="</f>
        <v>0#FITSY=</v>
      </c>
      <c r="I17" s="4" t="str">
        <f t="shared" si="6"/>
        <v>EURIRS</v>
      </c>
      <c r="J17" s="4" t="s">
        <v>581</v>
      </c>
      <c r="K17" s="4" t="s">
        <v>759</v>
      </c>
      <c r="L17" s="4" t="s">
        <v>760</v>
      </c>
      <c r="M17" s="4" t="s">
        <v>761</v>
      </c>
      <c r="N17" s="4" t="s">
        <v>762</v>
      </c>
      <c r="O17" s="4" t="s">
        <v>763</v>
      </c>
      <c r="P17" s="4"/>
      <c r="Q17" s="4" t="str">
        <f t="shared" si="0"/>
        <v>EUR</v>
      </c>
      <c r="R17" s="56" t="s">
        <v>876</v>
      </c>
      <c r="S17" s="4" t="s">
        <v>877</v>
      </c>
      <c r="T17" s="4"/>
      <c r="V17" s="19" t="s">
        <v>878</v>
      </c>
      <c r="W17" s="20" t="s">
        <v>835</v>
      </c>
      <c r="X17" s="23"/>
      <c r="Y17" s="4"/>
      <c r="Z17" s="20"/>
      <c r="AA17" t="str">
        <f t="shared" si="1"/>
        <v>BB00</v>
      </c>
      <c r="AB17" t="str">
        <f t="shared" si="2"/>
        <v>MMA0</v>
      </c>
      <c r="AC17" t="str">
        <f>_xll.AdStyleStructure("IRS",E17)</f>
        <v>PAID:FIXED LBOTH SETTLE:2WD DMC:M EMC:S CFADJ:YES REFDATE:MATURITY CLDR:EMU PDELAY:0 LFIXED FRQ:1 CCM:BB00 LFLOAT FRQ:2 CCM:MMA0</v>
      </c>
    </row>
    <row r="18" spans="1:29" x14ac:dyDescent="0.35">
      <c r="A18" s="19" t="s">
        <v>879</v>
      </c>
      <c r="B18" s="4" t="s">
        <v>880</v>
      </c>
      <c r="C18" s="4" t="s">
        <v>881</v>
      </c>
      <c r="D18" s="4" t="s">
        <v>579</v>
      </c>
      <c r="E18" s="4" t="s">
        <v>593</v>
      </c>
      <c r="F18" s="20" t="s">
        <v>758</v>
      </c>
      <c r="G18" s="4" t="str">
        <f t="shared" si="3"/>
        <v>0#FRTSYS=</v>
      </c>
      <c r="H18" s="4" t="str">
        <f t="shared" si="7"/>
        <v>0#FRTSY=</v>
      </c>
      <c r="I18" s="4" t="str">
        <f t="shared" si="6"/>
        <v>EURIRS</v>
      </c>
      <c r="J18" s="4" t="s">
        <v>581</v>
      </c>
      <c r="K18" s="4" t="s">
        <v>759</v>
      </c>
      <c r="L18" s="4" t="s">
        <v>760</v>
      </c>
      <c r="M18" s="4" t="s">
        <v>761</v>
      </c>
      <c r="N18" s="4" t="s">
        <v>762</v>
      </c>
      <c r="O18" s="4" t="s">
        <v>763</v>
      </c>
      <c r="P18" s="4"/>
      <c r="Q18" s="4" t="str">
        <f t="shared" si="0"/>
        <v>EUR</v>
      </c>
      <c r="R18" s="4" t="s">
        <v>882</v>
      </c>
      <c r="S18" s="4" t="s">
        <v>883</v>
      </c>
      <c r="T18" s="4"/>
      <c r="V18" s="19" t="s">
        <v>884</v>
      </c>
      <c r="W18" s="20" t="s">
        <v>835</v>
      </c>
      <c r="X18" s="23"/>
      <c r="Y18" s="4"/>
      <c r="Z18" s="20"/>
      <c r="AA18" t="str">
        <f t="shared" si="1"/>
        <v>BB00</v>
      </c>
      <c r="AB18" t="str">
        <f t="shared" si="2"/>
        <v>MMA0</v>
      </c>
      <c r="AC18" t="str">
        <f>_xll.AdStyleStructure("IRS",E18)</f>
        <v>PAID:FIXED LBOTH SETTLE:2WD DMC:M EMC:S CFADJ:YES REFDATE:MATURITY CLDR:EMU PDELAY:0 LFIXED FRQ:1 CCM:BB00 LFLOAT FRQ:2 CCM:MMA0</v>
      </c>
    </row>
    <row r="19" spans="1:29" x14ac:dyDescent="0.35">
      <c r="A19" s="19" t="s">
        <v>3</v>
      </c>
      <c r="B19" s="4" t="s">
        <v>885</v>
      </c>
      <c r="C19" s="4" t="s">
        <v>886</v>
      </c>
      <c r="D19" s="4" t="s">
        <v>579</v>
      </c>
      <c r="E19" s="4" t="s">
        <v>593</v>
      </c>
      <c r="F19" s="20" t="s">
        <v>758</v>
      </c>
      <c r="G19" s="4" t="str">
        <f t="shared" si="3"/>
        <v>0#DETSYS=</v>
      </c>
      <c r="H19" s="4" t="str">
        <f t="shared" si="7"/>
        <v>0#DETSY=</v>
      </c>
      <c r="I19" s="4" t="str">
        <f t="shared" si="6"/>
        <v>EURIRS</v>
      </c>
      <c r="J19" s="4" t="s">
        <v>581</v>
      </c>
      <c r="K19" s="4" t="s">
        <v>759</v>
      </c>
      <c r="L19" s="4" t="s">
        <v>760</v>
      </c>
      <c r="M19" s="4" t="s">
        <v>761</v>
      </c>
      <c r="N19" s="4" t="s">
        <v>762</v>
      </c>
      <c r="O19" s="4" t="s">
        <v>763</v>
      </c>
      <c r="P19" s="4"/>
      <c r="Q19" s="4" t="str">
        <f t="shared" si="0"/>
        <v>EUR</v>
      </c>
      <c r="R19" s="4" t="s">
        <v>887</v>
      </c>
      <c r="S19" s="4" t="s">
        <v>888</v>
      </c>
      <c r="T19" s="4" t="s">
        <v>889</v>
      </c>
      <c r="V19" s="19" t="s">
        <v>890</v>
      </c>
      <c r="W19" s="20" t="s">
        <v>835</v>
      </c>
      <c r="X19" s="23"/>
      <c r="Y19" s="4"/>
      <c r="Z19" s="20"/>
      <c r="AA19" t="str">
        <f t="shared" si="1"/>
        <v>BB00</v>
      </c>
      <c r="AB19" t="str">
        <f t="shared" si="2"/>
        <v>MMA0</v>
      </c>
      <c r="AC19" t="str">
        <f>_xll.AdStyleStructure("IRS",E19)</f>
        <v>PAID:FIXED LBOTH SETTLE:2WD DMC:M EMC:S CFADJ:YES REFDATE:MATURITY CLDR:EMU PDELAY:0 LFIXED FRQ:1 CCM:BB00 LFLOAT FRQ:2 CCM:MMA0</v>
      </c>
    </row>
    <row r="20" spans="1:29" x14ac:dyDescent="0.35">
      <c r="A20" s="19" t="s">
        <v>891</v>
      </c>
      <c r="B20" s="4" t="s">
        <v>892</v>
      </c>
      <c r="C20" s="4" t="s">
        <v>893</v>
      </c>
      <c r="D20" s="4" t="s">
        <v>579</v>
      </c>
      <c r="E20" s="4" t="s">
        <v>593</v>
      </c>
      <c r="F20" s="20" t="s">
        <v>758</v>
      </c>
      <c r="G20" s="4" t="str">
        <f t="shared" si="3"/>
        <v>0#GRTSYS=</v>
      </c>
      <c r="H20" s="4" t="str">
        <f t="shared" si="7"/>
        <v>0#GRTSY=</v>
      </c>
      <c r="I20" s="4" t="str">
        <f t="shared" si="6"/>
        <v>EURIRS</v>
      </c>
      <c r="J20" s="4" t="s">
        <v>581</v>
      </c>
      <c r="K20" s="4" t="s">
        <v>759</v>
      </c>
      <c r="L20" s="4" t="s">
        <v>760</v>
      </c>
      <c r="M20" s="4" t="s">
        <v>761</v>
      </c>
      <c r="N20" s="4" t="s">
        <v>762</v>
      </c>
      <c r="O20" s="4" t="s">
        <v>763</v>
      </c>
      <c r="P20" s="4"/>
      <c r="Q20" s="4" t="str">
        <f t="shared" si="0"/>
        <v>EUR</v>
      </c>
      <c r="R20" s="4"/>
      <c r="S20" s="4"/>
      <c r="T20" s="4"/>
      <c r="V20" s="19" t="s">
        <v>894</v>
      </c>
      <c r="W20" s="20" t="s">
        <v>895</v>
      </c>
      <c r="X20" s="23"/>
      <c r="Y20" s="4"/>
      <c r="Z20" s="20"/>
      <c r="AA20" t="str">
        <f t="shared" si="1"/>
        <v>BB00</v>
      </c>
      <c r="AB20" t="str">
        <f t="shared" si="2"/>
        <v>MMA0</v>
      </c>
      <c r="AC20" t="str">
        <f>_xll.AdStyleStructure("IRS",E20)</f>
        <v>PAID:FIXED LBOTH SETTLE:2WD DMC:M EMC:S CFADJ:YES REFDATE:MATURITY CLDR:EMU PDELAY:0 LFIXED FRQ:1 CCM:BB00 LFLOAT FRQ:2 CCM:MMA0</v>
      </c>
    </row>
    <row r="21" spans="1:29" x14ac:dyDescent="0.35">
      <c r="A21" s="19" t="s">
        <v>896</v>
      </c>
      <c r="B21" s="4" t="s">
        <v>897</v>
      </c>
      <c r="C21" s="4" t="s">
        <v>898</v>
      </c>
      <c r="D21" s="4" t="s">
        <v>899</v>
      </c>
      <c r="E21" s="4" t="s">
        <v>900</v>
      </c>
      <c r="F21" s="20" t="s">
        <v>901</v>
      </c>
      <c r="G21" s="4" t="str">
        <f t="shared" si="3"/>
        <v>0#HKTSYS=</v>
      </c>
      <c r="H21" s="4" t="str">
        <f t="shared" si="7"/>
        <v>0#HKTSY=</v>
      </c>
      <c r="I21" s="4" t="str">
        <f t="shared" si="6"/>
        <v>HKDIRS</v>
      </c>
      <c r="J21" s="4" t="s">
        <v>902</v>
      </c>
      <c r="K21" s="4" t="s">
        <v>903</v>
      </c>
      <c r="L21" s="4" t="s">
        <v>904</v>
      </c>
      <c r="M21" s="4"/>
      <c r="N21" s="4" t="s">
        <v>905</v>
      </c>
      <c r="O21" s="4"/>
      <c r="P21" s="4"/>
      <c r="Q21" s="4" t="str">
        <f t="shared" si="0"/>
        <v>HKD</v>
      </c>
      <c r="R21" s="4" t="s">
        <v>906</v>
      </c>
      <c r="S21" s="4" t="s">
        <v>907</v>
      </c>
      <c r="T21" s="4" t="s">
        <v>908</v>
      </c>
      <c r="V21" s="19" t="s">
        <v>909</v>
      </c>
      <c r="W21" s="20" t="s">
        <v>835</v>
      </c>
      <c r="X21" s="23"/>
      <c r="Y21" s="4"/>
      <c r="Z21" s="20"/>
      <c r="AA21" t="str">
        <f t="shared" si="1"/>
        <v>MMA5</v>
      </c>
      <c r="AB21" t="str">
        <f t="shared" si="2"/>
        <v>MMA5</v>
      </c>
      <c r="AC21" t="str">
        <f>_xll.AdStyleStructure("IRS",E21)</f>
        <v>PAID:FIXED LBOTH SETTLE:0WD DMC:M EMC:S CFADJ:YES REFDATE:MATURITY CLDR:HKG PDELAY:0 CCM:MMA5 FRQ:4</v>
      </c>
    </row>
    <row r="22" spans="1:29" x14ac:dyDescent="0.35">
      <c r="A22" s="19" t="s">
        <v>910</v>
      </c>
      <c r="B22" s="4" t="s">
        <v>911</v>
      </c>
      <c r="C22" s="4" t="s">
        <v>912</v>
      </c>
      <c r="D22" s="4" t="s">
        <v>913</v>
      </c>
      <c r="E22" s="4" t="s">
        <v>914</v>
      </c>
      <c r="F22" s="20" t="s">
        <v>915</v>
      </c>
      <c r="G22" s="4" t="str">
        <f t="shared" si="3"/>
        <v>0#HUTSYS=</v>
      </c>
      <c r="H22" s="4" t="str">
        <f t="shared" si="7"/>
        <v>0#HUTSY=</v>
      </c>
      <c r="I22" s="4"/>
      <c r="J22" s="4"/>
      <c r="K22" s="4"/>
      <c r="L22" s="4" t="s">
        <v>916</v>
      </c>
      <c r="M22" s="4"/>
      <c r="N22" s="4"/>
      <c r="O22" s="4"/>
      <c r="P22" s="4"/>
      <c r="Q22" s="4" t="str">
        <f t="shared" si="0"/>
        <v>HUF</v>
      </c>
      <c r="R22" s="4"/>
      <c r="S22" s="4"/>
      <c r="T22" s="4"/>
      <c r="V22" s="19" t="s">
        <v>917</v>
      </c>
      <c r="W22" s="20" t="s">
        <v>835</v>
      </c>
      <c r="X22" s="23"/>
      <c r="Y22" s="4"/>
      <c r="Z22" s="20"/>
      <c r="AA22" t="str">
        <f t="shared" si="1"/>
        <v>BBA5</v>
      </c>
      <c r="AB22" t="str">
        <f t="shared" si="2"/>
        <v>MMA0</v>
      </c>
      <c r="AC22" t="str">
        <f>_xll.AdStyleStructure("IRS",E22)</f>
        <v>PAID:FIXED LBOTH SETTLE:2WD DMC:M EMC:S CFADJ:YES REFDATE:MATURITY CLDR:HUN PDELAY:0 LFIXED FRQ:1 CCM:BBA5 LFLOAT FRQ:2 CCM:MMA0</v>
      </c>
    </row>
    <row r="23" spans="1:29" x14ac:dyDescent="0.35">
      <c r="A23" s="19" t="s">
        <v>918</v>
      </c>
      <c r="B23" s="4" t="s">
        <v>919</v>
      </c>
      <c r="C23" s="4" t="s">
        <v>920</v>
      </c>
      <c r="D23" s="4" t="s">
        <v>921</v>
      </c>
      <c r="E23" s="4" t="s">
        <v>922</v>
      </c>
      <c r="F23" s="20"/>
      <c r="G23" s="4"/>
      <c r="H23" s="4"/>
      <c r="I23" s="4" t="str">
        <f t="shared" ref="I23:I32" si="8">D23&amp;"IRS"</f>
        <v>ISKIRS</v>
      </c>
      <c r="J23" s="4"/>
      <c r="K23" s="4"/>
      <c r="L23" s="4"/>
      <c r="M23" s="4"/>
      <c r="N23" s="4" t="s">
        <v>923</v>
      </c>
      <c r="O23" s="4"/>
      <c r="P23" s="4"/>
      <c r="Q23" s="4" t="str">
        <f t="shared" si="0"/>
        <v>ISK</v>
      </c>
      <c r="R23" s="4"/>
      <c r="S23" s="4"/>
      <c r="T23" s="4"/>
      <c r="V23" s="19" t="s">
        <v>924</v>
      </c>
      <c r="W23" s="20" t="s">
        <v>819</v>
      </c>
      <c r="Y23" s="19"/>
      <c r="Z23" s="20"/>
      <c r="AA23" t="str">
        <f t="shared" si="1"/>
        <v>MMA0</v>
      </c>
      <c r="AB23" t="str">
        <f t="shared" si="2"/>
        <v>MMA0</v>
      </c>
      <c r="AC23" t="str">
        <f>_xll.AdStyleStructure("IRS",E23)</f>
        <v>PAID:FIXED LBOTH SETTLE:2WD DMC:M EMC:S CFADJ:YES REFDATE:MATURITY CLDR:ICL PDELAY:0 LFIXED FRQ:1 CCM:MMA0 LFLOAT FRQ:4 CCM:MMA0</v>
      </c>
    </row>
    <row r="24" spans="1:29" x14ac:dyDescent="0.35">
      <c r="A24" s="19" t="s">
        <v>925</v>
      </c>
      <c r="B24" s="4" t="s">
        <v>926</v>
      </c>
      <c r="C24" s="4" t="s">
        <v>927</v>
      </c>
      <c r="D24" s="4" t="s">
        <v>928</v>
      </c>
      <c r="E24" s="4" t="s">
        <v>929</v>
      </c>
      <c r="F24" s="20" t="s">
        <v>930</v>
      </c>
      <c r="G24" s="4"/>
      <c r="H24" s="4" t="str">
        <f>"0#" &amp; B24 &amp; "TSY="</f>
        <v>0#INTSY=</v>
      </c>
      <c r="I24" s="4" t="str">
        <f t="shared" si="8"/>
        <v>INRIRS</v>
      </c>
      <c r="J24" s="4" t="s">
        <v>931</v>
      </c>
      <c r="K24" s="4" t="s">
        <v>932</v>
      </c>
      <c r="L24" s="4" t="s">
        <v>933</v>
      </c>
      <c r="M24" s="4"/>
      <c r="N24" s="4"/>
      <c r="O24" s="4"/>
      <c r="P24" s="4"/>
      <c r="Q24" s="4" t="str">
        <f>D24&amp;"OIS"</f>
        <v>INROIS</v>
      </c>
      <c r="R24" s="4" t="s">
        <v>934</v>
      </c>
      <c r="S24" s="4" t="s">
        <v>935</v>
      </c>
      <c r="T24" s="4" t="s">
        <v>936</v>
      </c>
      <c r="V24" s="19" t="s">
        <v>937</v>
      </c>
      <c r="W24" s="20" t="s">
        <v>835</v>
      </c>
      <c r="Y24" s="19"/>
      <c r="Z24" s="20"/>
      <c r="AA24" t="str">
        <f t="shared" si="1"/>
        <v>MMA5</v>
      </c>
      <c r="AB24" t="str">
        <f t="shared" si="2"/>
        <v>MMA5</v>
      </c>
      <c r="AC24" t="str">
        <f>_xll.AdStyleStructure("IRS",E24)</f>
        <v xml:space="preserve">PAID:FIXED LBOTH SETTLE:2WD DMC:F EMC:S CFADJ:YES CLDR:IND PDELAY:0 CCM:MMA5 FRQ:2 IDX:OMMIFORON </v>
      </c>
    </row>
    <row r="25" spans="1:29" x14ac:dyDescent="0.35">
      <c r="A25" s="19" t="s">
        <v>938</v>
      </c>
      <c r="B25" s="4" t="s">
        <v>939</v>
      </c>
      <c r="C25" s="4" t="s">
        <v>940</v>
      </c>
      <c r="D25" s="4" t="s">
        <v>941</v>
      </c>
      <c r="E25" s="4" t="s">
        <v>942</v>
      </c>
      <c r="F25" s="20"/>
      <c r="G25" s="4" t="str">
        <f t="shared" si="3"/>
        <v>0#IDTSYS=</v>
      </c>
      <c r="H25" s="4" t="str">
        <f>"0#" &amp; B25 &amp; "TSY="</f>
        <v>0#IDTSY=</v>
      </c>
      <c r="I25" s="4" t="str">
        <f t="shared" si="8"/>
        <v>IDRIRS</v>
      </c>
      <c r="J25" s="4" t="s">
        <v>943</v>
      </c>
      <c r="K25" s="4"/>
      <c r="L25" s="4"/>
      <c r="M25" s="4"/>
      <c r="N25" s="4" t="s">
        <v>944</v>
      </c>
      <c r="O25" s="4"/>
      <c r="P25" s="4"/>
      <c r="Q25" s="4" t="str">
        <f t="shared" si="0"/>
        <v>IDR</v>
      </c>
      <c r="R25" s="4"/>
      <c r="S25" s="4"/>
      <c r="T25" s="4"/>
      <c r="V25" s="19" t="s">
        <v>945</v>
      </c>
      <c r="W25" s="20" t="s">
        <v>835</v>
      </c>
      <c r="Y25" s="19"/>
      <c r="Z25" s="20"/>
      <c r="AA25" t="str">
        <f t="shared" si="1"/>
        <v>MMA0</v>
      </c>
      <c r="AB25" t="str">
        <f t="shared" si="2"/>
        <v>MMA0</v>
      </c>
      <c r="AC25" t="str">
        <f>_xll.AdStyleStructure("IRS",E25)</f>
        <v>PAID:FIXED LBOTH SETTLE:2WD DMC:M EMC:S CCM:MMA0 CFADJ:YES REFDATE:MATURITY CLDR:IDS PDELAY:0 FRQ:4</v>
      </c>
    </row>
    <row r="26" spans="1:29" x14ac:dyDescent="0.35">
      <c r="A26" s="21" t="s">
        <v>946</v>
      </c>
      <c r="B26" s="2" t="s">
        <v>947</v>
      </c>
      <c r="C26" s="2" t="s">
        <v>948</v>
      </c>
      <c r="D26" s="2" t="s">
        <v>579</v>
      </c>
      <c r="E26" s="2" t="s">
        <v>593</v>
      </c>
      <c r="F26" s="20" t="s">
        <v>758</v>
      </c>
      <c r="G26" s="4" t="str">
        <f t="shared" si="3"/>
        <v>0#IETSYS=</v>
      </c>
      <c r="H26" s="4" t="str">
        <f>"0#" &amp; B26 &amp; "TSY="</f>
        <v>0#IETSY=</v>
      </c>
      <c r="I26" s="4" t="str">
        <f t="shared" si="8"/>
        <v>EURIRS</v>
      </c>
      <c r="J26" s="4" t="s">
        <v>581</v>
      </c>
      <c r="K26" s="4" t="s">
        <v>759</v>
      </c>
      <c r="L26" s="4" t="s">
        <v>760</v>
      </c>
      <c r="M26" s="4" t="s">
        <v>761</v>
      </c>
      <c r="N26" s="4" t="s">
        <v>762</v>
      </c>
      <c r="O26" s="4" t="s">
        <v>763</v>
      </c>
      <c r="P26" s="4"/>
      <c r="Q26" s="4" t="str">
        <f t="shared" si="0"/>
        <v>EUR</v>
      </c>
      <c r="R26" s="2"/>
      <c r="S26" s="2"/>
      <c r="T26" s="2"/>
      <c r="V26" s="19" t="s">
        <v>949</v>
      </c>
      <c r="W26" s="20" t="s">
        <v>835</v>
      </c>
      <c r="Y26" s="19"/>
      <c r="Z26" s="20"/>
      <c r="AA26" t="str">
        <f t="shared" si="1"/>
        <v>BB00</v>
      </c>
      <c r="AB26" t="str">
        <f t="shared" si="2"/>
        <v>MMA0</v>
      </c>
      <c r="AC26" t="str">
        <f>_xll.AdStyleStructure("IRS",E26)</f>
        <v>PAID:FIXED LBOTH SETTLE:2WD DMC:M EMC:S CFADJ:YES REFDATE:MATURITY CLDR:EMU PDELAY:0 LFIXED FRQ:1 CCM:BB00 LFLOAT FRQ:2 CCM:MMA0</v>
      </c>
    </row>
    <row r="27" spans="1:29" x14ac:dyDescent="0.35">
      <c r="A27" s="19" t="s">
        <v>950</v>
      </c>
      <c r="B27" s="4" t="s">
        <v>951</v>
      </c>
      <c r="C27" s="4" t="s">
        <v>952</v>
      </c>
      <c r="D27" s="4" t="s">
        <v>953</v>
      </c>
      <c r="E27" s="4" t="s">
        <v>954</v>
      </c>
      <c r="F27" s="20"/>
      <c r="G27" s="4"/>
      <c r="H27" s="4"/>
      <c r="I27" s="4" t="str">
        <f t="shared" si="8"/>
        <v>ILSIRS</v>
      </c>
      <c r="J27" s="4"/>
      <c r="K27" s="4"/>
      <c r="L27" s="4"/>
      <c r="M27" s="4"/>
      <c r="N27" s="4" t="s">
        <v>955</v>
      </c>
      <c r="O27" s="4"/>
      <c r="P27" s="4"/>
      <c r="Q27" s="4" t="str">
        <f t="shared" si="0"/>
        <v>ILS</v>
      </c>
      <c r="R27" s="4" t="s">
        <v>956</v>
      </c>
      <c r="S27" s="4"/>
      <c r="T27" s="4" t="s">
        <v>957</v>
      </c>
      <c r="V27" s="19" t="s">
        <v>958</v>
      </c>
      <c r="W27" s="20" t="s">
        <v>835</v>
      </c>
      <c r="Y27" s="19"/>
      <c r="Z27" s="20"/>
      <c r="AA27" t="str">
        <f t="shared" si="1"/>
        <v>MMA5</v>
      </c>
      <c r="AB27" t="str">
        <f t="shared" si="2"/>
        <v>MMA0</v>
      </c>
      <c r="AC27" t="str">
        <f>_xll.AdStyleStructure("IRS",E27)</f>
        <v>PAID:FIXED LBOTH SETTLE:2WD DMC:M EMC:S CFADJ:YES REFDATE:MATURITY CLDR:ISR PDELAY:0 LFIXED FRQ:1 CCM:MMA5 LFLOAT FRQ:4 CCM:MMA0</v>
      </c>
    </row>
    <row r="28" spans="1:29" x14ac:dyDescent="0.35">
      <c r="A28" s="19" t="s">
        <v>959</v>
      </c>
      <c r="B28" s="4" t="s">
        <v>909</v>
      </c>
      <c r="C28" s="4" t="s">
        <v>960</v>
      </c>
      <c r="D28" s="4" t="s">
        <v>579</v>
      </c>
      <c r="E28" s="4" t="s">
        <v>593</v>
      </c>
      <c r="F28" s="20" t="s">
        <v>758</v>
      </c>
      <c r="G28" s="4" t="str">
        <f t="shared" si="3"/>
        <v>0#ITTSYS=</v>
      </c>
      <c r="H28" s="4" t="str">
        <f>"0#" &amp; B28 &amp; "TSY="</f>
        <v>0#ITTSY=</v>
      </c>
      <c r="I28" s="4" t="str">
        <f t="shared" si="8"/>
        <v>EURIRS</v>
      </c>
      <c r="J28" s="4" t="s">
        <v>581</v>
      </c>
      <c r="K28" s="4" t="s">
        <v>759</v>
      </c>
      <c r="L28" s="4" t="s">
        <v>760</v>
      </c>
      <c r="M28" s="4" t="s">
        <v>761</v>
      </c>
      <c r="N28" s="4" t="s">
        <v>762</v>
      </c>
      <c r="O28" s="4" t="s">
        <v>763</v>
      </c>
      <c r="P28" s="4"/>
      <c r="Q28" s="4" t="str">
        <f t="shared" si="0"/>
        <v>EUR</v>
      </c>
      <c r="R28" s="2"/>
      <c r="S28" s="2"/>
      <c r="T28" s="2"/>
      <c r="V28" s="19" t="s">
        <v>961</v>
      </c>
      <c r="W28" s="20" t="s">
        <v>605</v>
      </c>
      <c r="Y28" s="19"/>
      <c r="Z28" s="20"/>
      <c r="AA28" t="str">
        <f t="shared" si="1"/>
        <v>BB00</v>
      </c>
      <c r="AB28" t="str">
        <f t="shared" si="2"/>
        <v>MMA0</v>
      </c>
      <c r="AC28" t="str">
        <f>_xll.AdStyleStructure("IRS",E28)</f>
        <v>PAID:FIXED LBOTH SETTLE:2WD DMC:M EMC:S CFADJ:YES REFDATE:MATURITY CLDR:EMU PDELAY:0 LFIXED FRQ:1 CCM:BB00 LFLOAT FRQ:2 CCM:MMA0</v>
      </c>
    </row>
    <row r="29" spans="1:29" x14ac:dyDescent="0.35">
      <c r="A29" s="19" t="s">
        <v>962</v>
      </c>
      <c r="B29" s="4" t="s">
        <v>963</v>
      </c>
      <c r="C29" s="4" t="s">
        <v>964</v>
      </c>
      <c r="D29" s="4" t="s">
        <v>965</v>
      </c>
      <c r="E29" s="4" t="s">
        <v>966</v>
      </c>
      <c r="F29" s="20" t="s">
        <v>967</v>
      </c>
      <c r="G29" s="4" t="str">
        <f>"0#" &amp; B29 &amp; "TSYS="</f>
        <v>0#JPTSYS=</v>
      </c>
      <c r="H29" s="4" t="str">
        <f>"0#" &amp; B29 &amp; "TSY="</f>
        <v>0#JPTSY=</v>
      </c>
      <c r="I29" s="4" t="str">
        <f t="shared" si="8"/>
        <v>JPYIRS</v>
      </c>
      <c r="J29" s="4" t="s">
        <v>968</v>
      </c>
      <c r="K29" s="4" t="s">
        <v>969</v>
      </c>
      <c r="L29" s="4" t="s">
        <v>970</v>
      </c>
      <c r="M29" s="4" t="s">
        <v>971</v>
      </c>
      <c r="N29" s="4" t="s">
        <v>970</v>
      </c>
      <c r="O29" s="4"/>
      <c r="P29" s="4"/>
      <c r="Q29" s="4" t="str">
        <f t="shared" si="0"/>
        <v>JPY</v>
      </c>
      <c r="R29" s="4" t="s">
        <v>972</v>
      </c>
      <c r="S29" s="4" t="s">
        <v>973</v>
      </c>
      <c r="T29" s="4" t="s">
        <v>974</v>
      </c>
      <c r="V29" s="19" t="s">
        <v>975</v>
      </c>
      <c r="W29" s="20" t="s">
        <v>835</v>
      </c>
      <c r="Y29" s="19"/>
      <c r="Z29" s="20"/>
      <c r="AA29" t="str">
        <f t="shared" si="1"/>
        <v>BBA5</v>
      </c>
      <c r="AB29" t="str">
        <f t="shared" si="2"/>
        <v>MMA5</v>
      </c>
      <c r="AC29" t="str">
        <f>_xll.AdStyleStructure("IRS",E29)</f>
        <v>PAID:FIXED LBOTH SETTLE:2WD FRQ:2 DMC:M EMC:S CFADJ:YES REFDATE:MATURITY CLDR:JAP,UKG PDELAY:0 LFIXED CCM:BBA5 LFLOAT CCM:MMA5</v>
      </c>
    </row>
    <row r="30" spans="1:29" x14ac:dyDescent="0.35">
      <c r="A30" s="19" t="s">
        <v>976</v>
      </c>
      <c r="B30" s="4" t="s">
        <v>977</v>
      </c>
      <c r="C30" s="4" t="s">
        <v>978</v>
      </c>
      <c r="D30" s="4" t="s">
        <v>979</v>
      </c>
      <c r="E30" s="4" t="s">
        <v>980</v>
      </c>
      <c r="F30" s="20"/>
      <c r="G30" s="4"/>
      <c r="H30" s="4" t="str">
        <f>"0#" &amp; B30 &amp; "TSY="</f>
        <v>0#KRTSY=</v>
      </c>
      <c r="I30" s="4" t="str">
        <f t="shared" si="8"/>
        <v>KRWIRS</v>
      </c>
      <c r="J30" s="4" t="s">
        <v>981</v>
      </c>
      <c r="K30" s="4"/>
      <c r="L30" s="4" t="s">
        <v>982</v>
      </c>
      <c r="M30" s="4"/>
      <c r="N30" s="4" t="s">
        <v>983</v>
      </c>
      <c r="O30" s="4"/>
      <c r="P30" s="4"/>
      <c r="Q30" s="4" t="str">
        <f t="shared" si="0"/>
        <v>KRW</v>
      </c>
      <c r="R30" s="4" t="s">
        <v>984</v>
      </c>
      <c r="S30" s="4" t="s">
        <v>985</v>
      </c>
      <c r="T30" s="4" t="s">
        <v>986</v>
      </c>
      <c r="V30" s="19" t="s">
        <v>987</v>
      </c>
      <c r="W30" s="20" t="s">
        <v>835</v>
      </c>
      <c r="Y30" s="19"/>
      <c r="Z30" s="20"/>
      <c r="AA30" t="str">
        <f t="shared" si="1"/>
        <v>MMA5</v>
      </c>
      <c r="AB30" t="str">
        <f t="shared" si="2"/>
        <v>MMA5</v>
      </c>
      <c r="AC30" t="str">
        <f>_xll.AdStyleStructure("IRS",E30)</f>
        <v>PAID:FIXED LBOTH SETTLE:1WD CCM:MMA5 DMC:MOD EMC:S CFADJ:YES REFDATE:MATURITY PDELAY:0 CLDR:KOR LFIXED FRQ:4 LFLOAT FRQ:4</v>
      </c>
    </row>
    <row r="31" spans="1:29" x14ac:dyDescent="0.35">
      <c r="A31" s="19" t="s">
        <v>988</v>
      </c>
      <c r="B31" s="4" t="s">
        <v>989</v>
      </c>
      <c r="C31" s="4" t="s">
        <v>990</v>
      </c>
      <c r="D31" s="4" t="s">
        <v>991</v>
      </c>
      <c r="E31" s="4" t="s">
        <v>992</v>
      </c>
      <c r="F31" s="20"/>
      <c r="G31" s="4"/>
      <c r="H31" s="4"/>
      <c r="I31" s="4" t="str">
        <f t="shared" si="8"/>
        <v>KWDIRS</v>
      </c>
      <c r="J31" s="4"/>
      <c r="K31" s="4"/>
      <c r="L31" s="4"/>
      <c r="M31" s="4"/>
      <c r="N31" s="4"/>
      <c r="O31" s="4"/>
      <c r="P31" s="4"/>
      <c r="Q31" s="4" t="str">
        <f t="shared" si="0"/>
        <v>KWD</v>
      </c>
      <c r="R31" s="4"/>
      <c r="S31" s="4"/>
      <c r="T31" s="4"/>
      <c r="V31" s="19" t="s">
        <v>993</v>
      </c>
      <c r="W31" s="20" t="s">
        <v>819</v>
      </c>
      <c r="Y31" s="19"/>
      <c r="Z31" s="20"/>
      <c r="AA31" t="str">
        <f t="shared" si="1"/>
        <v>MMA5</v>
      </c>
      <c r="AB31" t="str">
        <f t="shared" si="2"/>
        <v>MMA5</v>
      </c>
      <c r="AC31" t="str">
        <f>_xll.AdStyleStructure("IRS",E31)</f>
        <v>PAID:FIXED LBOTH SETTLE:0WD CCM:MMA5 DMC:MOD EMC:S CFADJ:YES REFDATE:MATURITY PDELAY:0 CLDR:KWT LFIXED FRQ:1 LFLOAT FRQ:4</v>
      </c>
    </row>
    <row r="32" spans="1:29" x14ac:dyDescent="0.35">
      <c r="A32" s="19" t="s">
        <v>994</v>
      </c>
      <c r="B32" s="4" t="s">
        <v>995</v>
      </c>
      <c r="C32" s="4" t="s">
        <v>996</v>
      </c>
      <c r="D32" s="4" t="s">
        <v>579</v>
      </c>
      <c r="E32" s="4" t="s">
        <v>593</v>
      </c>
      <c r="F32" s="20" t="s">
        <v>758</v>
      </c>
      <c r="G32" s="4"/>
      <c r="H32" s="4" t="str">
        <f>"0#" &amp; B32 &amp; "TSY="</f>
        <v>0#LVTSY=</v>
      </c>
      <c r="I32" s="4" t="str">
        <f t="shared" si="8"/>
        <v>EURIRS</v>
      </c>
      <c r="J32" s="4" t="s">
        <v>581</v>
      </c>
      <c r="K32" s="4" t="s">
        <v>759</v>
      </c>
      <c r="L32" s="4" t="s">
        <v>760</v>
      </c>
      <c r="M32" s="4" t="s">
        <v>761</v>
      </c>
      <c r="N32" s="4" t="s">
        <v>762</v>
      </c>
      <c r="O32" s="4" t="s">
        <v>763</v>
      </c>
      <c r="P32" s="4"/>
      <c r="Q32" s="4" t="str">
        <f t="shared" si="0"/>
        <v>EUR</v>
      </c>
      <c r="R32" s="2"/>
      <c r="S32" s="2"/>
      <c r="T32" s="2"/>
      <c r="V32" s="19" t="s">
        <v>997</v>
      </c>
      <c r="W32" s="20" t="s">
        <v>835</v>
      </c>
      <c r="Y32" s="19"/>
      <c r="Z32" s="20"/>
      <c r="AA32" t="str">
        <f t="shared" si="1"/>
        <v>BB00</v>
      </c>
      <c r="AB32" t="str">
        <f t="shared" si="2"/>
        <v>MMA0</v>
      </c>
      <c r="AC32" t="str">
        <f>_xll.AdStyleStructure("IRS",E32)</f>
        <v>PAID:FIXED LBOTH SETTLE:2WD DMC:M EMC:S CFADJ:YES REFDATE:MATURITY CLDR:EMU PDELAY:0 LFIXED FRQ:1 CCM:BB00 LFLOAT FRQ:2 CCM:MMA0</v>
      </c>
    </row>
    <row r="33" spans="1:29" x14ac:dyDescent="0.35">
      <c r="A33" s="19" t="s">
        <v>998</v>
      </c>
      <c r="B33" s="4" t="s">
        <v>999</v>
      </c>
      <c r="C33" s="4" t="s">
        <v>1000</v>
      </c>
      <c r="D33" s="4" t="s">
        <v>1001</v>
      </c>
      <c r="E33" s="4" t="s">
        <v>772</v>
      </c>
      <c r="F33" s="20"/>
      <c r="G33" s="4" t="str">
        <f t="shared" ref="G33:G62" si="9">"0#" &amp; B33 &amp; "TSYS="</f>
        <v>0#LBTSYS=</v>
      </c>
      <c r="H33" s="4" t="str">
        <f>"0#" &amp; B33 &amp; "TSY="</f>
        <v>0#LBTSY=</v>
      </c>
      <c r="I33" s="4"/>
      <c r="J33" s="4"/>
      <c r="K33" s="4"/>
      <c r="L33" s="4"/>
      <c r="M33" s="4"/>
      <c r="N33" s="4"/>
      <c r="O33" s="4"/>
      <c r="P33" s="4"/>
      <c r="Q33" s="4" t="str">
        <f t="shared" si="0"/>
        <v>LBP</v>
      </c>
      <c r="R33" s="4"/>
      <c r="S33" s="4"/>
      <c r="T33" s="4"/>
      <c r="V33" s="19"/>
      <c r="W33" s="20"/>
      <c r="Y33" s="19"/>
      <c r="Z33" s="20"/>
      <c r="AB33" t="e">
        <f t="shared" si="2"/>
        <v>#VALUE!</v>
      </c>
      <c r="AC33" t="str">
        <f>_xll.AdStyleStructure("IRS",E33)</f>
        <v>ERROR 3050 - StyleCode : invalid value.</v>
      </c>
    </row>
    <row r="34" spans="1:29" x14ac:dyDescent="0.35">
      <c r="A34" s="19" t="s">
        <v>1002</v>
      </c>
      <c r="B34" s="4" t="s">
        <v>1003</v>
      </c>
      <c r="C34" s="4" t="s">
        <v>1004</v>
      </c>
      <c r="D34" s="4" t="s">
        <v>1005</v>
      </c>
      <c r="E34" s="4" t="s">
        <v>772</v>
      </c>
      <c r="F34" s="20"/>
      <c r="G34" s="4"/>
      <c r="H34" s="4" t="str">
        <f>"0#" &amp; B34 &amp; "TSY="</f>
        <v>0#LTTSY=</v>
      </c>
      <c r="I34" s="4"/>
      <c r="J34" s="4"/>
      <c r="K34" s="4"/>
      <c r="L34" s="4"/>
      <c r="M34" s="4"/>
      <c r="N34" s="4"/>
      <c r="O34" s="4"/>
      <c r="P34" s="4"/>
      <c r="Q34" s="4" t="str">
        <f t="shared" si="0"/>
        <v>LTL</v>
      </c>
      <c r="R34" s="4"/>
      <c r="S34" s="4"/>
      <c r="T34" s="4"/>
      <c r="V34" s="19"/>
      <c r="W34" s="20"/>
      <c r="Y34" s="19"/>
      <c r="Z34" s="20"/>
      <c r="AB34" t="e">
        <f t="shared" si="2"/>
        <v>#VALUE!</v>
      </c>
      <c r="AC34" t="str">
        <f>_xll.AdStyleStructure("IRS",E34)</f>
        <v>ERROR 3050 - StyleCode : invalid value.</v>
      </c>
    </row>
    <row r="35" spans="1:29" x14ac:dyDescent="0.35">
      <c r="A35" s="21" t="s">
        <v>1006</v>
      </c>
      <c r="B35" s="2" t="s">
        <v>1007</v>
      </c>
      <c r="C35" s="2" t="s">
        <v>1008</v>
      </c>
      <c r="D35" s="2" t="s">
        <v>579</v>
      </c>
      <c r="E35" s="2" t="s">
        <v>593</v>
      </c>
      <c r="F35" s="20" t="s">
        <v>758</v>
      </c>
      <c r="G35" s="4"/>
      <c r="H35" s="4"/>
      <c r="I35" s="4" t="str">
        <f>D35&amp;"IRS"</f>
        <v>EURIRS</v>
      </c>
      <c r="J35" s="4" t="s">
        <v>581</v>
      </c>
      <c r="K35" s="4" t="s">
        <v>759</v>
      </c>
      <c r="L35" s="4" t="s">
        <v>760</v>
      </c>
      <c r="M35" s="4" t="s">
        <v>761</v>
      </c>
      <c r="N35" s="4" t="s">
        <v>762</v>
      </c>
      <c r="O35" s="4" t="s">
        <v>763</v>
      </c>
      <c r="P35" s="4"/>
      <c r="Q35" s="4" t="str">
        <f t="shared" si="0"/>
        <v>EUR</v>
      </c>
      <c r="R35" s="2"/>
      <c r="S35" s="2"/>
      <c r="T35" s="2"/>
      <c r="V35" s="19"/>
      <c r="W35" s="20"/>
      <c r="Y35" s="19"/>
      <c r="Z35" s="20"/>
      <c r="AA35" t="str">
        <f t="shared" si="1"/>
        <v>BB00</v>
      </c>
      <c r="AB35" t="str">
        <f t="shared" si="2"/>
        <v>MMA0</v>
      </c>
      <c r="AC35" t="str">
        <f>_xll.AdStyleStructure("IRS",E35)</f>
        <v>PAID:FIXED LBOTH SETTLE:2WD DMC:M EMC:S CFADJ:YES REFDATE:MATURITY CLDR:EMU PDELAY:0 LFIXED FRQ:1 CCM:BB00 LFLOAT FRQ:2 CCM:MMA0</v>
      </c>
    </row>
    <row r="36" spans="1:29" x14ac:dyDescent="0.35">
      <c r="A36" s="19" t="s">
        <v>1009</v>
      </c>
      <c r="B36" s="4" t="s">
        <v>1010</v>
      </c>
      <c r="C36" s="4" t="s">
        <v>1011</v>
      </c>
      <c r="D36" s="4" t="s">
        <v>1012</v>
      </c>
      <c r="E36" s="4" t="s">
        <v>1013</v>
      </c>
      <c r="F36" s="20" t="s">
        <v>1014</v>
      </c>
      <c r="G36" s="4" t="str">
        <f t="shared" si="9"/>
        <v>0#MYTSYS=</v>
      </c>
      <c r="H36" s="4" t="str">
        <f t="shared" ref="H36:H57" si="10">"0#" &amp; B36 &amp; "TSY="</f>
        <v>0#MYTSY=</v>
      </c>
      <c r="I36" s="4" t="str">
        <f>D36&amp;"IRS"</f>
        <v>MYRIRS</v>
      </c>
      <c r="J36" s="4"/>
      <c r="K36" s="4" t="s">
        <v>1015</v>
      </c>
      <c r="L36" s="4" t="s">
        <v>1016</v>
      </c>
      <c r="M36" s="4"/>
      <c r="N36" s="4" t="s">
        <v>1017</v>
      </c>
      <c r="O36" s="4"/>
      <c r="P36" s="4"/>
      <c r="Q36" s="4" t="str">
        <f t="shared" si="0"/>
        <v>MYR</v>
      </c>
      <c r="R36" s="4"/>
      <c r="S36" s="4"/>
      <c r="T36" s="4"/>
      <c r="V36" s="19"/>
      <c r="W36" s="20"/>
      <c r="Y36" s="19"/>
      <c r="Z36" s="20"/>
      <c r="AA36" t="str">
        <f t="shared" si="1"/>
        <v>BBA5</v>
      </c>
      <c r="AB36" t="str">
        <f t="shared" si="2"/>
        <v>MMA5</v>
      </c>
      <c r="AC36" t="str">
        <f>_xll.AdStyleStructure("IRS",E36)</f>
        <v>PAID:FIXED LBOTH SETTLE:0WD FRQ:4 DMC:MOD EMC:S CFADJ:YES REFDATE:MATURITY CLDR:MAL PDELAY:0 LFIXED CCM:BBA5 LFLOAT CCM:MMA5</v>
      </c>
    </row>
    <row r="37" spans="1:29" x14ac:dyDescent="0.35">
      <c r="A37" s="19" t="s">
        <v>1018</v>
      </c>
      <c r="B37" s="4" t="s">
        <v>1019</v>
      </c>
      <c r="C37" s="4" t="s">
        <v>1020</v>
      </c>
      <c r="D37" s="4" t="s">
        <v>1021</v>
      </c>
      <c r="E37" s="4" t="s">
        <v>1022</v>
      </c>
      <c r="F37" s="20"/>
      <c r="G37" s="4"/>
      <c r="H37" s="4" t="str">
        <f t="shared" si="10"/>
        <v>0#MXTSY=</v>
      </c>
      <c r="I37" s="4"/>
      <c r="J37" s="4"/>
      <c r="K37" s="4"/>
      <c r="L37" s="4"/>
      <c r="M37" s="4"/>
      <c r="N37" s="4" t="s">
        <v>1023</v>
      </c>
      <c r="O37" s="4"/>
      <c r="P37" s="4"/>
      <c r="Q37" s="4" t="str">
        <f t="shared" si="0"/>
        <v>MXN</v>
      </c>
      <c r="R37" s="4"/>
      <c r="S37" s="4"/>
      <c r="T37" s="4"/>
      <c r="V37" s="19"/>
      <c r="W37" s="20"/>
      <c r="Y37" s="19"/>
      <c r="Z37" s="20"/>
      <c r="AA37" t="str">
        <f t="shared" si="1"/>
        <v>MMA0</v>
      </c>
      <c r="AB37" t="str">
        <f t="shared" si="2"/>
        <v>MMA0</v>
      </c>
      <c r="AC37" t="str">
        <f>_xll.AdStyleStructure("IRS",E37)</f>
        <v>PAID:FIXED LBOTH SETTLE:1WD FRQ:28D CCM:MMA0 DMC:FOL EMC:S CFADJ:YES PDELAY:0 CLDR:MEX LFLOAT</v>
      </c>
    </row>
    <row r="38" spans="1:29" x14ac:dyDescent="0.35">
      <c r="A38" s="19" t="s">
        <v>1024</v>
      </c>
      <c r="B38" s="4" t="s">
        <v>1025</v>
      </c>
      <c r="C38" s="4" t="s">
        <v>1026</v>
      </c>
      <c r="D38" s="4" t="s">
        <v>579</v>
      </c>
      <c r="E38" s="4" t="s">
        <v>593</v>
      </c>
      <c r="F38" s="20" t="s">
        <v>758</v>
      </c>
      <c r="G38" s="4" t="str">
        <f t="shared" si="9"/>
        <v>0#NLTSYS=</v>
      </c>
      <c r="H38" s="4" t="str">
        <f t="shared" si="10"/>
        <v>0#NLTSY=</v>
      </c>
      <c r="I38" s="4" t="str">
        <f>D38&amp;"IRS"</f>
        <v>EURIRS</v>
      </c>
      <c r="J38" s="4"/>
      <c r="K38" s="4"/>
      <c r="L38" s="4"/>
      <c r="M38" s="4"/>
      <c r="N38" s="4"/>
      <c r="O38" s="4"/>
      <c r="P38" s="4"/>
      <c r="Q38" s="4" t="str">
        <f t="shared" si="0"/>
        <v>EUR</v>
      </c>
      <c r="R38" s="4" t="s">
        <v>1027</v>
      </c>
      <c r="S38" s="4" t="s">
        <v>1028</v>
      </c>
      <c r="T38" s="4" t="s">
        <v>1029</v>
      </c>
      <c r="V38" s="19"/>
      <c r="W38" s="20"/>
      <c r="Y38" s="19"/>
      <c r="Z38" s="20"/>
      <c r="AA38" t="str">
        <f t="shared" si="1"/>
        <v>BB00</v>
      </c>
      <c r="AB38" t="str">
        <f t="shared" si="2"/>
        <v>MMA0</v>
      </c>
      <c r="AC38" t="str">
        <f>_xll.AdStyleStructure("IRS",E38)</f>
        <v>PAID:FIXED LBOTH SETTLE:2WD DMC:M EMC:S CFADJ:YES REFDATE:MATURITY CLDR:EMU PDELAY:0 LFIXED FRQ:1 CCM:BB00 LFLOAT FRQ:2 CCM:MMA0</v>
      </c>
    </row>
    <row r="39" spans="1:29" x14ac:dyDescent="0.35">
      <c r="A39" s="19" t="s">
        <v>1030</v>
      </c>
      <c r="B39" s="4" t="s">
        <v>1031</v>
      </c>
      <c r="C39" s="4" t="s">
        <v>1032</v>
      </c>
      <c r="D39" s="4" t="s">
        <v>1033</v>
      </c>
      <c r="E39" s="4" t="s">
        <v>1034</v>
      </c>
      <c r="F39" s="20" t="s">
        <v>1035</v>
      </c>
      <c r="G39" s="4"/>
      <c r="H39" s="4" t="str">
        <f t="shared" si="10"/>
        <v>0#NZTSY=</v>
      </c>
      <c r="I39" s="4" t="str">
        <f>D39&amp;"IRS"</f>
        <v>NZDIRS</v>
      </c>
      <c r="J39" s="4" t="s">
        <v>1036</v>
      </c>
      <c r="K39" s="4" t="s">
        <v>1037</v>
      </c>
      <c r="L39" s="4"/>
      <c r="M39" s="4"/>
      <c r="N39" s="4"/>
      <c r="O39" s="4"/>
      <c r="P39" s="4"/>
      <c r="Q39" s="4" t="str">
        <f t="shared" si="0"/>
        <v>NZD</v>
      </c>
      <c r="R39" s="4"/>
      <c r="S39" s="4"/>
      <c r="T39" s="4"/>
      <c r="V39" s="19"/>
      <c r="W39" s="20"/>
      <c r="Y39" s="19"/>
      <c r="Z39" s="20"/>
      <c r="AA39" t="str">
        <f t="shared" si="1"/>
        <v>MMA5</v>
      </c>
      <c r="AB39" t="str">
        <f t="shared" si="2"/>
        <v>MMA5</v>
      </c>
      <c r="AC39" t="str">
        <f>_xll.AdStyleStructure("IRS",E39)</f>
        <v>PAID:FIXED LBOTH SETTLE:2WD DMC:M EMC:S CFADJ:YES REFDATE:MATURITY CLDR:NZL PDELAY:0 CCM:MMA5 LFIXED FRQ:2 LFLOAT FRQ:4</v>
      </c>
    </row>
    <row r="40" spans="1:29" x14ac:dyDescent="0.35">
      <c r="A40" s="19" t="s">
        <v>1038</v>
      </c>
      <c r="B40" s="4" t="s">
        <v>1039</v>
      </c>
      <c r="C40" s="4" t="s">
        <v>1040</v>
      </c>
      <c r="D40" s="4" t="s">
        <v>1041</v>
      </c>
      <c r="E40" s="4" t="s">
        <v>1042</v>
      </c>
      <c r="F40" s="20"/>
      <c r="G40" s="4" t="str">
        <f t="shared" si="9"/>
        <v>0#NOTSYS=</v>
      </c>
      <c r="H40" s="4" t="str">
        <f t="shared" si="10"/>
        <v>0#NOTSY=</v>
      </c>
      <c r="I40" s="4" t="str">
        <f>D40&amp;"IRS"</f>
        <v>NOKIRS</v>
      </c>
      <c r="J40" s="4" t="s">
        <v>1043</v>
      </c>
      <c r="K40" s="4"/>
      <c r="L40" s="4"/>
      <c r="M40" s="4"/>
      <c r="N40" s="4" t="s">
        <v>1044</v>
      </c>
      <c r="O40" s="4"/>
      <c r="P40" s="4"/>
      <c r="Q40" s="4" t="str">
        <f t="shared" si="0"/>
        <v>NOK</v>
      </c>
      <c r="R40" s="55" t="s">
        <v>1045</v>
      </c>
      <c r="S40" s="55" t="s">
        <v>1046</v>
      </c>
      <c r="T40" s="4"/>
      <c r="V40" s="19"/>
      <c r="W40" s="20"/>
      <c r="Y40" s="19"/>
      <c r="Z40" s="20"/>
      <c r="AB40" t="str">
        <f t="shared" si="2"/>
        <v>MMA0</v>
      </c>
      <c r="AC40" t="str">
        <f>_xll.AdStyleStructure("IRS",E40)</f>
        <v>PAID:FIXED LBOTH SETTLE:2WD DMC:M EMC:S CFADJ:YES REFDATE:MATURITY CLDR:NOR PDELAY:0 LFIXED FRQ:1 CCM:BB00 LFLOAT FRQ:2 CCM:MMA0</v>
      </c>
    </row>
    <row r="41" spans="1:29" x14ac:dyDescent="0.35">
      <c r="A41" s="19" t="s">
        <v>1047</v>
      </c>
      <c r="B41" s="4" t="s">
        <v>1048</v>
      </c>
      <c r="C41" s="4" t="s">
        <v>1049</v>
      </c>
      <c r="D41" s="4" t="s">
        <v>1050</v>
      </c>
      <c r="E41" s="4" t="s">
        <v>1051</v>
      </c>
      <c r="F41" s="20"/>
      <c r="G41" s="4"/>
      <c r="H41" s="4" t="str">
        <f t="shared" si="10"/>
        <v>0#PKTSY=</v>
      </c>
      <c r="I41" s="4" t="str">
        <f>D41&amp;"IRS"</f>
        <v>PKRIRS</v>
      </c>
      <c r="J41" s="4"/>
      <c r="K41" s="4"/>
      <c r="L41" s="4"/>
      <c r="M41" s="4"/>
      <c r="N41" s="4"/>
      <c r="O41" s="4"/>
      <c r="P41" s="4"/>
      <c r="Q41" s="4" t="str">
        <f t="shared" si="0"/>
        <v>PKR</v>
      </c>
      <c r="R41" s="4"/>
      <c r="S41" s="4"/>
      <c r="T41" s="4"/>
      <c r="V41" s="19"/>
      <c r="W41" s="20"/>
      <c r="Y41" s="19"/>
      <c r="Z41" s="20"/>
      <c r="AA41" t="str">
        <f t="shared" si="1"/>
        <v>MMA5</v>
      </c>
      <c r="AB41" t="str">
        <f t="shared" si="2"/>
        <v>MMA5</v>
      </c>
      <c r="AC41" t="str">
        <f>_xll.AdStyleStructure("IRS",E41)</f>
        <v>PAID:FIXED LBOTH SETTLE:0WD FRQ:2 CLDR:PAK CCM:MMA5 ARND:NO CFADJ:YES CRND:NO DMC:MODIFIED EMC:SAMEDAY IC:S1 PDELAY:0 REFDATE:MATURITY RP:1 XD:NO</v>
      </c>
    </row>
    <row r="42" spans="1:29" x14ac:dyDescent="0.35">
      <c r="A42" s="19" t="s">
        <v>1052</v>
      </c>
      <c r="B42" s="4" t="s">
        <v>1053</v>
      </c>
      <c r="C42" s="4" t="s">
        <v>1054</v>
      </c>
      <c r="D42" s="4" t="s">
        <v>1055</v>
      </c>
      <c r="E42" s="4" t="s">
        <v>772</v>
      </c>
      <c r="F42" s="20"/>
      <c r="G42" s="4"/>
      <c r="H42" s="4" t="str">
        <f t="shared" si="10"/>
        <v>0#PETSY=</v>
      </c>
      <c r="I42" s="4"/>
      <c r="J42" s="4"/>
      <c r="K42" s="4" t="s">
        <v>1056</v>
      </c>
      <c r="L42" s="4"/>
      <c r="M42" s="4"/>
      <c r="N42" s="4"/>
      <c r="O42" s="4"/>
      <c r="P42" s="4"/>
      <c r="Q42" s="4" t="str">
        <f t="shared" si="0"/>
        <v>PEN</v>
      </c>
      <c r="R42" s="4"/>
      <c r="S42" s="4"/>
      <c r="T42" s="4"/>
      <c r="V42" s="19"/>
      <c r="W42" s="20"/>
      <c r="Y42" s="19"/>
      <c r="Z42" s="20"/>
      <c r="AB42" t="e">
        <f t="shared" si="2"/>
        <v>#VALUE!</v>
      </c>
      <c r="AC42" t="str">
        <f>_xll.AdStyleStructure("IRS",E42)</f>
        <v>ERROR 3050 - StyleCode : invalid value.</v>
      </c>
    </row>
    <row r="43" spans="1:29" x14ac:dyDescent="0.35">
      <c r="A43" s="21" t="s">
        <v>1057</v>
      </c>
      <c r="B43" s="2" t="s">
        <v>1058</v>
      </c>
      <c r="C43" s="2" t="s">
        <v>1059</v>
      </c>
      <c r="D43" s="2" t="s">
        <v>1060</v>
      </c>
      <c r="E43" s="2" t="s">
        <v>1061</v>
      </c>
      <c r="F43" s="22"/>
      <c r="G43" s="4" t="str">
        <f t="shared" si="9"/>
        <v>0#PHTSYS=</v>
      </c>
      <c r="H43" s="4" t="str">
        <f t="shared" si="10"/>
        <v>0#PHTSY=</v>
      </c>
      <c r="I43" s="4" t="str">
        <f t="shared" ref="I43:I48" si="11">D43&amp;"IRS"</f>
        <v>PHPIRS</v>
      </c>
      <c r="J43" s="4"/>
      <c r="K43" s="4"/>
      <c r="L43" s="4"/>
      <c r="M43" s="4"/>
      <c r="N43" s="4"/>
      <c r="O43" s="4"/>
      <c r="P43" s="4"/>
      <c r="Q43" s="4" t="str">
        <f t="shared" si="0"/>
        <v>PHP</v>
      </c>
      <c r="R43" s="2"/>
      <c r="S43" s="2"/>
      <c r="T43" s="2"/>
      <c r="V43" s="19"/>
      <c r="W43" s="20"/>
      <c r="Y43" s="19"/>
      <c r="Z43" s="20"/>
      <c r="AA43" t="str">
        <f t="shared" si="1"/>
        <v>MMA0</v>
      </c>
      <c r="AB43" t="str">
        <f t="shared" si="2"/>
        <v>MMA0</v>
      </c>
      <c r="AC43" t="str">
        <f>_xll.AdStyleStructure("IRS",E43)</f>
        <v xml:space="preserve">PAID:FIXED LBOTH SETTLE:1WD FRQ:4 CCM:MMA0 DMC:MOD EMC:S CFADJ:NO REFDATE:MATURITY CLDR:PHI PDELAY:0 </v>
      </c>
    </row>
    <row r="44" spans="1:29" x14ac:dyDescent="0.35">
      <c r="A44" s="19" t="s">
        <v>1062</v>
      </c>
      <c r="B44" s="4" t="s">
        <v>1063</v>
      </c>
      <c r="C44" s="4" t="s">
        <v>1064</v>
      </c>
      <c r="D44" s="4" t="s">
        <v>1065</v>
      </c>
      <c r="E44" s="4" t="s">
        <v>1066</v>
      </c>
      <c r="F44" s="20" t="s">
        <v>1067</v>
      </c>
      <c r="G44" s="4"/>
      <c r="H44" s="4" t="str">
        <f t="shared" si="10"/>
        <v>0#PLTSY=</v>
      </c>
      <c r="I44" s="4" t="str">
        <f t="shared" si="11"/>
        <v>PLNIRS</v>
      </c>
      <c r="J44" s="4"/>
      <c r="K44" s="4" t="s">
        <v>1068</v>
      </c>
      <c r="L44" s="4" t="s">
        <v>1069</v>
      </c>
      <c r="M44" s="4"/>
      <c r="N44" s="4" t="s">
        <v>1070</v>
      </c>
      <c r="O44" s="4"/>
      <c r="P44" s="4"/>
      <c r="Q44" s="4" t="str">
        <f t="shared" si="0"/>
        <v>PLN</v>
      </c>
      <c r="R44" s="4" t="s">
        <v>1071</v>
      </c>
      <c r="S44" s="4" t="s">
        <v>1072</v>
      </c>
      <c r="T44" s="4" t="s">
        <v>1073</v>
      </c>
      <c r="V44" s="19"/>
      <c r="W44" s="20"/>
      <c r="Y44" s="19"/>
      <c r="Z44" s="20"/>
      <c r="AA44" t="str">
        <f t="shared" si="1"/>
        <v>A5P</v>
      </c>
      <c r="AB44" t="str">
        <f t="shared" si="2"/>
        <v>MMA5</v>
      </c>
      <c r="AC44" t="str">
        <f>_xll.AdStyleStructure("IRS",E44)</f>
        <v xml:space="preserve">PAID:FIXED LBOTH SETTLE:2WD DMC:M EMC:L CFADJ:YES REFDATE:MATURITY CLDR:POL PDELAY:0 LFIXED FRQ:1 CCM:A5P LFLOAT FRQ:2 CCM:MMA5  </v>
      </c>
    </row>
    <row r="45" spans="1:29" x14ac:dyDescent="0.35">
      <c r="A45" s="19" t="s">
        <v>1074</v>
      </c>
      <c r="B45" s="4" t="s">
        <v>1075</v>
      </c>
      <c r="C45" s="4" t="s">
        <v>1076</v>
      </c>
      <c r="D45" s="4" t="s">
        <v>579</v>
      </c>
      <c r="E45" s="4" t="s">
        <v>593</v>
      </c>
      <c r="F45" s="20" t="s">
        <v>758</v>
      </c>
      <c r="G45" s="4" t="str">
        <f t="shared" si="9"/>
        <v>0#PTTSYS=</v>
      </c>
      <c r="H45" s="4" t="str">
        <f t="shared" si="10"/>
        <v>0#PTTSY=</v>
      </c>
      <c r="I45" s="4" t="str">
        <f t="shared" si="11"/>
        <v>EURIRS</v>
      </c>
      <c r="J45" s="4" t="s">
        <v>581</v>
      </c>
      <c r="K45" s="4" t="s">
        <v>759</v>
      </c>
      <c r="L45" s="4" t="s">
        <v>760</v>
      </c>
      <c r="M45" s="4" t="s">
        <v>761</v>
      </c>
      <c r="N45" s="4" t="s">
        <v>762</v>
      </c>
      <c r="O45" s="4" t="s">
        <v>763</v>
      </c>
      <c r="P45" s="4"/>
      <c r="Q45" s="4" t="str">
        <f t="shared" si="0"/>
        <v>EUR</v>
      </c>
      <c r="R45" s="2"/>
      <c r="S45" s="2"/>
      <c r="T45" s="2"/>
      <c r="V45" s="19"/>
      <c r="W45" s="20"/>
      <c r="Y45" s="19"/>
      <c r="Z45" s="20"/>
      <c r="AA45" t="str">
        <f t="shared" si="1"/>
        <v>BB00</v>
      </c>
      <c r="AB45" t="str">
        <f t="shared" si="2"/>
        <v>MMA0</v>
      </c>
      <c r="AC45" t="str">
        <f>_xll.AdStyleStructure("IRS",E45)</f>
        <v>PAID:FIXED LBOTH SETTLE:2WD DMC:M EMC:S CFADJ:YES REFDATE:MATURITY CLDR:EMU PDELAY:0 LFIXED FRQ:1 CCM:BB00 LFLOAT FRQ:2 CCM:MMA0</v>
      </c>
    </row>
    <row r="46" spans="1:29" x14ac:dyDescent="0.35">
      <c r="A46" s="19" t="s">
        <v>1077</v>
      </c>
      <c r="B46" s="4" t="s">
        <v>1078</v>
      </c>
      <c r="C46" s="4" t="s">
        <v>1079</v>
      </c>
      <c r="D46" s="4" t="s">
        <v>1080</v>
      </c>
      <c r="E46" s="4" t="s">
        <v>1081</v>
      </c>
      <c r="F46" s="20"/>
      <c r="G46" s="4"/>
      <c r="H46" s="4" t="str">
        <f t="shared" si="10"/>
        <v>0#ROTSY=</v>
      </c>
      <c r="I46" s="4" t="str">
        <f t="shared" si="11"/>
        <v>RONIRS</v>
      </c>
      <c r="J46" s="4" t="s">
        <v>1082</v>
      </c>
      <c r="K46" s="4"/>
      <c r="L46" s="4"/>
      <c r="M46" s="4"/>
      <c r="N46" s="4"/>
      <c r="O46" s="4"/>
      <c r="P46" s="4"/>
      <c r="Q46" s="4" t="str">
        <f t="shared" si="0"/>
        <v>RON</v>
      </c>
      <c r="R46" s="4"/>
      <c r="S46" s="4"/>
      <c r="T46" s="4"/>
      <c r="V46" s="19"/>
      <c r="W46" s="20"/>
      <c r="Y46" s="19"/>
      <c r="Z46" s="20"/>
      <c r="AB46" t="str">
        <f t="shared" si="2"/>
        <v>MMA0</v>
      </c>
      <c r="AC46" t="str">
        <f>_xll.AdStyleStructure("IRS",E46)</f>
        <v>PAID:FIXED LBOTH SETTLE:2WD CLDR:ROU CCM:MMA0 DMC:M EMC:S CFADJ:YES REFDATE:MATURITY PDELAY:0 LFIXED FRQ:1 LFLOAT FRQ:4</v>
      </c>
    </row>
    <row r="47" spans="1:29" x14ac:dyDescent="0.35">
      <c r="A47" s="19" t="s">
        <v>1083</v>
      </c>
      <c r="B47" s="4" t="s">
        <v>1084</v>
      </c>
      <c r="C47" s="4" t="s">
        <v>1085</v>
      </c>
      <c r="D47" s="4" t="s">
        <v>1086</v>
      </c>
      <c r="E47" s="4" t="s">
        <v>1087</v>
      </c>
      <c r="F47" s="20"/>
      <c r="G47" s="4"/>
      <c r="H47" s="4" t="str">
        <f t="shared" si="10"/>
        <v>0#RUTSY=</v>
      </c>
      <c r="I47" s="4" t="str">
        <f t="shared" si="11"/>
        <v>RUBIRS</v>
      </c>
      <c r="J47" s="4" t="s">
        <v>1088</v>
      </c>
      <c r="K47" s="4" t="s">
        <v>1089</v>
      </c>
      <c r="L47" s="4" t="s">
        <v>1090</v>
      </c>
      <c r="M47" s="4"/>
      <c r="N47" s="4"/>
      <c r="O47" s="4"/>
      <c r="P47" s="4"/>
      <c r="Q47" s="4" t="str">
        <f t="shared" si="0"/>
        <v>RUB</v>
      </c>
      <c r="R47" s="4"/>
      <c r="S47" s="4"/>
      <c r="T47" s="4"/>
      <c r="V47" s="19"/>
      <c r="W47" s="20"/>
      <c r="Y47" s="19"/>
      <c r="Z47" s="20"/>
      <c r="AA47" t="str">
        <f t="shared" si="1"/>
        <v>A5P</v>
      </c>
      <c r="AB47" t="str">
        <f t="shared" si="2"/>
        <v>MMAA</v>
      </c>
      <c r="AC47" t="str">
        <f>_xll.AdStyleStructure("IRS",E47)</f>
        <v>PAID:FIXED LBOTH SETTLE:1WD DMC:M EMC:S CFADJ:YES REFDATE:MATURITY CLDR:RUS PDELAY:0 LFIXED FRQ:1 CCM:A5P LFLOAT FRQ:4 CCM:MMAA</v>
      </c>
    </row>
    <row r="48" spans="1:29" x14ac:dyDescent="0.35">
      <c r="A48" s="19" t="s">
        <v>1091</v>
      </c>
      <c r="B48" s="4" t="s">
        <v>1092</v>
      </c>
      <c r="C48" s="4" t="s">
        <v>1093</v>
      </c>
      <c r="D48" s="4" t="s">
        <v>1094</v>
      </c>
      <c r="E48" s="4" t="s">
        <v>1095</v>
      </c>
      <c r="F48" s="20"/>
      <c r="G48" s="4" t="str">
        <f t="shared" si="9"/>
        <v>0#SATSYS=</v>
      </c>
      <c r="H48" s="4" t="str">
        <f t="shared" si="10"/>
        <v>0#SATSY=</v>
      </c>
      <c r="I48" s="4" t="str">
        <f t="shared" si="11"/>
        <v>SARIRS</v>
      </c>
      <c r="J48" s="4" t="s">
        <v>1096</v>
      </c>
      <c r="K48" s="4"/>
      <c r="L48" s="4"/>
      <c r="M48" s="4"/>
      <c r="N48" s="4"/>
      <c r="O48" s="4"/>
      <c r="P48" s="4"/>
      <c r="Q48" s="4" t="str">
        <f t="shared" si="0"/>
        <v>SAR</v>
      </c>
      <c r="R48" s="4"/>
      <c r="S48" s="4"/>
      <c r="T48" s="4"/>
      <c r="V48" s="19"/>
      <c r="W48" s="20"/>
      <c r="Y48" s="19"/>
      <c r="Z48" s="20"/>
      <c r="AA48" t="str">
        <f t="shared" si="1"/>
        <v>MMA0</v>
      </c>
      <c r="AB48" t="str">
        <f t="shared" si="2"/>
        <v>MMA0</v>
      </c>
      <c r="AC48" t="str">
        <f>_xll.AdStyleStructure("IRS",E48)</f>
        <v>PAID:FIXED LBOTH SETTLE:0WD CCM:MMA0 DMC:M EMC:S CFADJ:YES REFDATE:MATURITY CLDR:SAU_FI PDELAY:0 LFIXED FRQ:1 LFLOAT FRQ:4</v>
      </c>
    </row>
    <row r="49" spans="1:29" x14ac:dyDescent="0.35">
      <c r="A49" s="19" t="s">
        <v>1097</v>
      </c>
      <c r="B49" s="4" t="s">
        <v>1098</v>
      </c>
      <c r="C49" s="4" t="s">
        <v>1099</v>
      </c>
      <c r="D49" s="4" t="s">
        <v>1100</v>
      </c>
      <c r="E49" s="4" t="s">
        <v>772</v>
      </c>
      <c r="F49" s="20"/>
      <c r="G49" s="4" t="str">
        <f t="shared" si="9"/>
        <v>0#RSTSYS=</v>
      </c>
      <c r="H49" s="4" t="str">
        <f t="shared" si="10"/>
        <v>0#RSTSY=</v>
      </c>
      <c r="I49" s="4"/>
      <c r="J49" s="4"/>
      <c r="K49" s="4"/>
      <c r="L49" s="4"/>
      <c r="M49" s="4"/>
      <c r="N49" s="4"/>
      <c r="O49" s="4"/>
      <c r="P49" s="4"/>
      <c r="Q49" s="4" t="str">
        <f t="shared" si="0"/>
        <v>RSD</v>
      </c>
      <c r="R49" s="4"/>
      <c r="S49" s="4"/>
      <c r="T49" s="4"/>
      <c r="V49" s="19"/>
      <c r="W49" s="20"/>
      <c r="Y49" s="19"/>
      <c r="Z49" s="20"/>
      <c r="AB49" t="e">
        <f t="shared" si="2"/>
        <v>#VALUE!</v>
      </c>
      <c r="AC49" t="str">
        <f>_xll.AdStyleStructure("IRS",E49)</f>
        <v>ERROR 3050 - StyleCode : invalid value.</v>
      </c>
    </row>
    <row r="50" spans="1:29" x14ac:dyDescent="0.35">
      <c r="A50" s="19" t="s">
        <v>1101</v>
      </c>
      <c r="B50" s="4" t="s">
        <v>1102</v>
      </c>
      <c r="C50" s="4" t="s">
        <v>1103</v>
      </c>
      <c r="D50" s="4" t="s">
        <v>1104</v>
      </c>
      <c r="E50" s="4" t="s">
        <v>1105</v>
      </c>
      <c r="F50" s="20" t="s">
        <v>1106</v>
      </c>
      <c r="G50" s="4" t="str">
        <f t="shared" si="9"/>
        <v>0#SGTSYS=</v>
      </c>
      <c r="H50" s="4" t="str">
        <f t="shared" si="10"/>
        <v>0#SGTSY=</v>
      </c>
      <c r="I50" s="4" t="str">
        <f>D50&amp;"IRS"</f>
        <v>SGDIRS</v>
      </c>
      <c r="J50" s="4"/>
      <c r="K50" s="4" t="s">
        <v>1107</v>
      </c>
      <c r="L50" s="4" t="s">
        <v>1108</v>
      </c>
      <c r="M50" s="4"/>
      <c r="N50" s="4"/>
      <c r="O50" s="4"/>
      <c r="P50" s="4"/>
      <c r="Q50" s="4" t="str">
        <f t="shared" si="0"/>
        <v>SGD</v>
      </c>
      <c r="R50" s="4"/>
      <c r="S50" s="4"/>
      <c r="T50" s="4"/>
      <c r="V50" s="19"/>
      <c r="W50" s="20"/>
      <c r="Y50" s="19"/>
      <c r="Z50" s="20"/>
      <c r="AA50" t="str">
        <f t="shared" si="1"/>
        <v>BBA5</v>
      </c>
      <c r="AB50" t="str">
        <f t="shared" si="2"/>
        <v>MMA5</v>
      </c>
      <c r="AC50" t="str">
        <f>_xll.AdStyleStructure("IRS",E50)</f>
        <v>PAID:FIXED LBOTH SETTLE:2WD DMC:M EMC:S CFADJ:YES REFDATE:MATURITY CLDR:SIN PDELAY:0 FRQ:2 LFIXED CCM:BBA5 LFLOAT CCM:MMA5</v>
      </c>
    </row>
    <row r="51" spans="1:29" x14ac:dyDescent="0.35">
      <c r="A51" s="19" t="s">
        <v>1109</v>
      </c>
      <c r="B51" s="4" t="s">
        <v>1110</v>
      </c>
      <c r="C51" s="4" t="s">
        <v>1111</v>
      </c>
      <c r="D51" s="4" t="s">
        <v>1112</v>
      </c>
      <c r="E51" s="4" t="s">
        <v>1113</v>
      </c>
      <c r="F51" s="20"/>
      <c r="G51" s="4" t="str">
        <f t="shared" si="9"/>
        <v>0#ZATSYS=</v>
      </c>
      <c r="H51" s="4" t="str">
        <f t="shared" si="10"/>
        <v>0#ZATSY=</v>
      </c>
      <c r="I51" s="4" t="str">
        <f>D51&amp;"IRS"</f>
        <v>ZARIRS</v>
      </c>
      <c r="J51" s="4"/>
      <c r="K51" s="4"/>
      <c r="L51" s="4"/>
      <c r="M51" s="4"/>
      <c r="N51" s="4"/>
      <c r="O51" s="4"/>
      <c r="P51" s="4"/>
      <c r="Q51" s="4" t="str">
        <f t="shared" si="0"/>
        <v>ZAR</v>
      </c>
      <c r="R51" s="4"/>
      <c r="S51" s="4"/>
      <c r="T51" s="4"/>
      <c r="V51" s="19"/>
      <c r="W51" s="20"/>
      <c r="Y51" s="19"/>
      <c r="Z51" s="20"/>
      <c r="AA51" t="str">
        <f t="shared" si="1"/>
        <v>BBA5</v>
      </c>
      <c r="AB51" t="str">
        <f t="shared" si="2"/>
        <v>MMA5</v>
      </c>
      <c r="AC51" t="str">
        <f>_xll.AdStyleStructure("IRS",E51)</f>
        <v>PAID:FIXED LBOTH SETTLE:0WD FRQ:4 DMC:M EMC:S CFADJ:YES REFDATE:MATURITY CLDR:RSA PDELAY:0 LFIXED CCM:BBA5 LFLOAT CCM:MMA5</v>
      </c>
    </row>
    <row r="52" spans="1:29" x14ac:dyDescent="0.35">
      <c r="A52" s="19" t="s">
        <v>1114</v>
      </c>
      <c r="B52" s="4" t="s">
        <v>1115</v>
      </c>
      <c r="C52" s="4" t="s">
        <v>1116</v>
      </c>
      <c r="D52" s="4" t="s">
        <v>579</v>
      </c>
      <c r="E52" s="4" t="s">
        <v>593</v>
      </c>
      <c r="F52" s="20" t="s">
        <v>758</v>
      </c>
      <c r="G52" s="4" t="str">
        <f t="shared" si="9"/>
        <v>0#ESTSYS=</v>
      </c>
      <c r="H52" s="4" t="str">
        <f t="shared" si="10"/>
        <v>0#ESTSY=</v>
      </c>
      <c r="I52" s="4" t="str">
        <f>D52&amp;"IRS"</f>
        <v>EURIRS</v>
      </c>
      <c r="J52" s="4" t="s">
        <v>581</v>
      </c>
      <c r="K52" s="4" t="s">
        <v>759</v>
      </c>
      <c r="L52" s="4" t="s">
        <v>760</v>
      </c>
      <c r="M52" s="4" t="s">
        <v>761</v>
      </c>
      <c r="N52" s="4" t="s">
        <v>762</v>
      </c>
      <c r="O52" s="4" t="s">
        <v>763</v>
      </c>
      <c r="P52" s="4"/>
      <c r="Q52" s="4" t="str">
        <f t="shared" si="0"/>
        <v>EUR</v>
      </c>
      <c r="R52" s="4" t="s">
        <v>1117</v>
      </c>
      <c r="S52" s="4" t="s">
        <v>1118</v>
      </c>
      <c r="T52" s="4" t="s">
        <v>1119</v>
      </c>
      <c r="V52" s="19"/>
      <c r="W52" s="20"/>
      <c r="Y52" s="19"/>
      <c r="Z52" s="20"/>
      <c r="AA52" t="str">
        <f t="shared" si="1"/>
        <v>BB00</v>
      </c>
      <c r="AB52" t="str">
        <f t="shared" si="2"/>
        <v>MMA0</v>
      </c>
      <c r="AC52" t="str">
        <f>_xll.AdStyleStructure("IRS",E52)</f>
        <v>PAID:FIXED LBOTH SETTLE:2WD DMC:M EMC:S CFADJ:YES REFDATE:MATURITY CLDR:EMU PDELAY:0 LFIXED FRQ:1 CCM:BB00 LFLOAT FRQ:2 CCM:MMA0</v>
      </c>
    </row>
    <row r="53" spans="1:29" x14ac:dyDescent="0.35">
      <c r="A53" s="19" t="s">
        <v>1120</v>
      </c>
      <c r="B53" s="4" t="s">
        <v>1121</v>
      </c>
      <c r="C53" s="4" t="s">
        <v>1122</v>
      </c>
      <c r="D53" s="4" t="s">
        <v>1123</v>
      </c>
      <c r="E53" s="4" t="s">
        <v>772</v>
      </c>
      <c r="F53" s="20"/>
      <c r="G53" s="4"/>
      <c r="H53" s="4" t="str">
        <f t="shared" si="10"/>
        <v>0#LKTSY=</v>
      </c>
      <c r="I53" s="4"/>
      <c r="J53" s="4"/>
      <c r="K53" s="4"/>
      <c r="L53" s="4"/>
      <c r="M53" s="4"/>
      <c r="N53" s="4"/>
      <c r="O53" s="4"/>
      <c r="P53" s="4"/>
      <c r="Q53" s="4" t="str">
        <f t="shared" si="0"/>
        <v>LKR</v>
      </c>
      <c r="R53" s="4"/>
      <c r="S53" s="4"/>
      <c r="T53" s="4"/>
      <c r="V53" s="19"/>
      <c r="W53" s="20"/>
      <c r="Y53" s="19"/>
      <c r="Z53" s="20"/>
      <c r="AB53" t="e">
        <f t="shared" si="2"/>
        <v>#VALUE!</v>
      </c>
      <c r="AC53" t="str">
        <f>_xll.AdStyleStructure("IRS",E53)</f>
        <v>ERROR 3050 - StyleCode : invalid value.</v>
      </c>
    </row>
    <row r="54" spans="1:29" x14ac:dyDescent="0.35">
      <c r="A54" s="19" t="s">
        <v>1124</v>
      </c>
      <c r="B54" s="4" t="s">
        <v>1125</v>
      </c>
      <c r="C54" s="4" t="s">
        <v>1126</v>
      </c>
      <c r="D54" s="4" t="s">
        <v>1127</v>
      </c>
      <c r="E54" s="4" t="s">
        <v>1128</v>
      </c>
      <c r="F54" s="20" t="s">
        <v>1129</v>
      </c>
      <c r="G54" s="4" t="str">
        <f t="shared" si="9"/>
        <v>0#SETSYS=</v>
      </c>
      <c r="H54" s="4" t="str">
        <f t="shared" si="10"/>
        <v>0#SETSY=</v>
      </c>
      <c r="I54" s="4" t="str">
        <f>D54&amp;"IRS"</f>
        <v>SEKIRS</v>
      </c>
      <c r="J54" s="4" t="s">
        <v>1130</v>
      </c>
      <c r="K54" s="4" t="s">
        <v>1131</v>
      </c>
      <c r="L54" s="4" t="s">
        <v>1132</v>
      </c>
      <c r="M54" s="4"/>
      <c r="N54" s="4" t="s">
        <v>1133</v>
      </c>
      <c r="O54" s="4"/>
      <c r="P54" s="4"/>
      <c r="Q54" s="4" t="str">
        <f t="shared" si="0"/>
        <v>SEK</v>
      </c>
      <c r="R54" s="4" t="s">
        <v>32</v>
      </c>
      <c r="S54" s="4" t="s">
        <v>98</v>
      </c>
      <c r="T54" s="4" t="s">
        <v>1134</v>
      </c>
      <c r="V54" s="19"/>
      <c r="W54" s="20"/>
      <c r="Y54" s="19"/>
      <c r="Z54" s="20"/>
      <c r="AA54" t="str">
        <f t="shared" si="1"/>
        <v>BB00</v>
      </c>
      <c r="AB54" t="str">
        <f t="shared" si="2"/>
        <v>MMA0</v>
      </c>
      <c r="AC54" t="str">
        <f>_xll.AdStyleStructure("IRS",E54)</f>
        <v>PAID:FIXED LBOTH SETTLE:2WD DMC:M EMC:S CFADJ:YES REFDATE:MATURITY CLDR:SWE PDELAY:0 LFIXED FRQ:1 CCM:BB00 LFLOAT FRQ:4 CCM:MMA0</v>
      </c>
    </row>
    <row r="55" spans="1:29" x14ac:dyDescent="0.35">
      <c r="A55" s="19" t="s">
        <v>1135</v>
      </c>
      <c r="B55" s="4" t="s">
        <v>1136</v>
      </c>
      <c r="C55" s="4" t="s">
        <v>1137</v>
      </c>
      <c r="D55" s="4" t="s">
        <v>1138</v>
      </c>
      <c r="E55" s="4" t="s">
        <v>1139</v>
      </c>
      <c r="F55" s="20" t="s">
        <v>1140</v>
      </c>
      <c r="G55" s="4"/>
      <c r="H55" s="4" t="str">
        <f t="shared" si="10"/>
        <v>0#CHTSY=</v>
      </c>
      <c r="I55" s="4" t="str">
        <f>D55&amp;"IRS"</f>
        <v>CHFIRS</v>
      </c>
      <c r="J55" s="4" t="s">
        <v>1141</v>
      </c>
      <c r="K55" s="4" t="s">
        <v>1142</v>
      </c>
      <c r="L55" s="4" t="s">
        <v>1143</v>
      </c>
      <c r="M55" s="4" t="s">
        <v>1144</v>
      </c>
      <c r="N55" s="4" t="s">
        <v>1143</v>
      </c>
      <c r="O55" s="4" t="s">
        <v>1145</v>
      </c>
      <c r="P55" s="4"/>
      <c r="Q55" s="4" t="str">
        <f t="shared" si="0"/>
        <v>CHF</v>
      </c>
      <c r="R55" s="4" t="s">
        <v>1146</v>
      </c>
      <c r="S55" s="4" t="s">
        <v>1147</v>
      </c>
      <c r="T55" s="4" t="s">
        <v>1148</v>
      </c>
      <c r="V55" s="19"/>
      <c r="W55" s="20"/>
      <c r="Y55" s="19"/>
      <c r="Z55" s="20"/>
      <c r="AA55" t="str">
        <f t="shared" si="1"/>
        <v>BB00</v>
      </c>
      <c r="AB55" t="str">
        <f t="shared" si="2"/>
        <v>MMA0</v>
      </c>
      <c r="AC55" t="str">
        <f>_xll.AdStyleStructure("IRS",E55)</f>
        <v>PAID:FIXED LBOTH SETTLE:2WD DMC:M EMC:S CFADJ:YES REFDATE:MATURITY CLDR:SWI,UKG PDELAY:0 LFIXED FRQ:1 CCM:BB00 LFLOAT FRQ:2 CCM:MMA0</v>
      </c>
    </row>
    <row r="56" spans="1:29" x14ac:dyDescent="0.35">
      <c r="A56" s="19" t="s">
        <v>1149</v>
      </c>
      <c r="B56" s="4" t="s">
        <v>1150</v>
      </c>
      <c r="C56" s="4" t="s">
        <v>1151</v>
      </c>
      <c r="D56" s="4" t="s">
        <v>1152</v>
      </c>
      <c r="E56" s="4" t="s">
        <v>1153</v>
      </c>
      <c r="F56" s="20"/>
      <c r="G56" s="4"/>
      <c r="H56" s="4" t="str">
        <f t="shared" si="10"/>
        <v>0#TWTSY=</v>
      </c>
      <c r="I56" s="4" t="str">
        <f>D56&amp;"IRS"</f>
        <v>TWDIRS</v>
      </c>
      <c r="J56" s="4" t="s">
        <v>1154</v>
      </c>
      <c r="K56" s="4"/>
      <c r="L56" s="4"/>
      <c r="M56" s="4"/>
      <c r="N56" s="4"/>
      <c r="O56" s="4"/>
      <c r="P56" s="4"/>
      <c r="Q56" s="4" t="str">
        <f t="shared" si="0"/>
        <v>TWD</v>
      </c>
      <c r="R56" s="4"/>
      <c r="S56" s="4"/>
      <c r="T56" s="4"/>
      <c r="V56" s="19"/>
      <c r="W56" s="20"/>
      <c r="Y56" s="19"/>
      <c r="Z56" s="20"/>
      <c r="AA56" t="str">
        <f t="shared" si="1"/>
        <v>MMA5</v>
      </c>
      <c r="AB56" t="str">
        <f t="shared" si="2"/>
        <v>MMA5</v>
      </c>
      <c r="AC56" t="str">
        <f>_xll.AdStyleStructure("IRS",E56)</f>
        <v>PAID:FIXED LBOTH SETTLE:2WD CLDR:TWN DMC:F EMC:S CFADJ:YES REFDATE:MATURITY CCM:MMA5 PDELAY:0 FRQ:4</v>
      </c>
    </row>
    <row r="57" spans="1:29" x14ac:dyDescent="0.35">
      <c r="A57" s="19" t="s">
        <v>1155</v>
      </c>
      <c r="B57" s="4" t="s">
        <v>1156</v>
      </c>
      <c r="C57" s="4" t="s">
        <v>1157</v>
      </c>
      <c r="D57" s="4" t="s">
        <v>1158</v>
      </c>
      <c r="E57" s="4" t="s">
        <v>1159</v>
      </c>
      <c r="F57" s="20"/>
      <c r="G57" s="4"/>
      <c r="H57" s="4" t="str">
        <f t="shared" si="10"/>
        <v>0#THTSY=</v>
      </c>
      <c r="I57" s="4" t="str">
        <f>D57&amp;"IRS"</f>
        <v>THBIRS</v>
      </c>
      <c r="J57" s="4" t="s">
        <v>1160</v>
      </c>
      <c r="K57" s="4"/>
      <c r="L57" s="4"/>
      <c r="M57" s="4"/>
      <c r="N57" s="4"/>
      <c r="O57" s="4"/>
      <c r="P57" s="4"/>
      <c r="Q57" s="4" t="str">
        <f t="shared" si="0"/>
        <v>THB</v>
      </c>
      <c r="R57" s="4" t="s">
        <v>1161</v>
      </c>
      <c r="S57" s="4" t="s">
        <v>1162</v>
      </c>
      <c r="T57" s="4" t="s">
        <v>1163</v>
      </c>
      <c r="V57" s="19"/>
      <c r="W57" s="20"/>
      <c r="Y57" s="19"/>
      <c r="Z57" s="20"/>
      <c r="AA57" t="str">
        <f t="shared" si="1"/>
        <v>BBA5</v>
      </c>
      <c r="AB57" t="str">
        <f t="shared" si="2"/>
        <v>MMA5</v>
      </c>
      <c r="AC57" t="str">
        <f>_xll.AdStyleStructure("IRS",E57)</f>
        <v>PAID:FIXED LBOTH SETTLE:2WD DMC:M EMC:S CFADJ:YES REFDATE:MATURITY CLDR:THA PDELAY:0 FRQ:2 LFIXED CCM:BBA5 LFLOAT CCM:MMA5</v>
      </c>
    </row>
    <row r="58" spans="1:29" x14ac:dyDescent="0.35">
      <c r="A58" s="19" t="s">
        <v>1164</v>
      </c>
      <c r="B58" s="4" t="s">
        <v>1165</v>
      </c>
      <c r="C58" s="4" t="s">
        <v>1166</v>
      </c>
      <c r="D58" s="4" t="s">
        <v>1167</v>
      </c>
      <c r="E58" s="4" t="s">
        <v>1168</v>
      </c>
      <c r="F58" s="20" t="s">
        <v>1169</v>
      </c>
      <c r="G58" s="4"/>
      <c r="H58" s="4"/>
      <c r="I58" s="4" t="str">
        <f>D58&amp;"IRS"</f>
        <v>TRYIRS</v>
      </c>
      <c r="J58" s="4"/>
      <c r="K58" s="4"/>
      <c r="L58" s="4"/>
      <c r="M58" s="4"/>
      <c r="N58" s="4" t="s">
        <v>1170</v>
      </c>
      <c r="O58" s="4"/>
      <c r="P58" s="4"/>
      <c r="Q58" s="4" t="str">
        <f t="shared" si="0"/>
        <v>TRY</v>
      </c>
      <c r="R58" s="4"/>
      <c r="S58" s="4"/>
      <c r="T58" s="4"/>
      <c r="V58" s="19"/>
      <c r="W58" s="20"/>
      <c r="Y58" s="19"/>
      <c r="Z58" s="20"/>
      <c r="AA58" t="str">
        <f t="shared" si="1"/>
        <v>MMA0</v>
      </c>
      <c r="AB58" t="str">
        <f t="shared" si="2"/>
        <v>MMA0</v>
      </c>
      <c r="AC58" t="str">
        <f>_xll.AdStyleStructure("IRS",E58)</f>
        <v>PAID:FIXED LBOTH SETTLE:2WD CCM:MMA0 DMC:MOD EMC:S CFADJ:NO REFDATE:MATURITY CLDR:TUR PDELAY:0 LFIXED FRQ:1 LFLOAT FRQ:4</v>
      </c>
    </row>
    <row r="59" spans="1:29" x14ac:dyDescent="0.35">
      <c r="A59" s="19" t="s">
        <v>1171</v>
      </c>
      <c r="B59" s="4" t="s">
        <v>1172</v>
      </c>
      <c r="C59" s="4" t="s">
        <v>1173</v>
      </c>
      <c r="D59" s="4" t="s">
        <v>1174</v>
      </c>
      <c r="E59" s="4" t="s">
        <v>772</v>
      </c>
      <c r="F59" s="20"/>
      <c r="G59" s="4"/>
      <c r="H59" s="4" t="str">
        <f>"0#" &amp; B59 &amp; "TSY="</f>
        <v>0#UATSY=</v>
      </c>
      <c r="I59" s="4"/>
      <c r="J59" s="4"/>
      <c r="K59" s="4"/>
      <c r="L59" s="4"/>
      <c r="M59" s="4"/>
      <c r="N59" s="4"/>
      <c r="O59" s="4"/>
      <c r="P59" s="4"/>
      <c r="Q59" s="4" t="str">
        <f t="shared" si="0"/>
        <v>UAH</v>
      </c>
      <c r="R59" s="4"/>
      <c r="S59" s="4"/>
      <c r="T59" s="4"/>
      <c r="V59" s="19"/>
      <c r="W59" s="20"/>
      <c r="Y59" s="19"/>
      <c r="Z59" s="20"/>
      <c r="AB59" t="e">
        <f t="shared" si="2"/>
        <v>#VALUE!</v>
      </c>
      <c r="AC59" t="str">
        <f>_xll.AdStyleStructure("IRS",E59)</f>
        <v>ERROR 3050 - StyleCode : invalid value.</v>
      </c>
    </row>
    <row r="60" spans="1:29" x14ac:dyDescent="0.35">
      <c r="A60" s="19" t="s">
        <v>1175</v>
      </c>
      <c r="B60" s="4" t="s">
        <v>1176</v>
      </c>
      <c r="C60" s="4" t="s">
        <v>1177</v>
      </c>
      <c r="D60" s="4" t="s">
        <v>1178</v>
      </c>
      <c r="E60" s="4" t="s">
        <v>1179</v>
      </c>
      <c r="F60" s="20"/>
      <c r="G60" s="4"/>
      <c r="H60" s="4"/>
      <c r="I60" s="4" t="str">
        <f>D60&amp;"IRS"</f>
        <v>AEDIRS</v>
      </c>
      <c r="J60" s="4"/>
      <c r="K60" s="4"/>
      <c r="L60" s="4"/>
      <c r="M60" s="4"/>
      <c r="N60" s="4"/>
      <c r="O60" s="4"/>
      <c r="P60" s="4"/>
      <c r="Q60" s="4" t="str">
        <f t="shared" si="0"/>
        <v>AED</v>
      </c>
      <c r="R60" s="4"/>
      <c r="S60" s="4"/>
      <c r="T60" s="4"/>
      <c r="V60" s="19"/>
      <c r="W60" s="20"/>
      <c r="Y60" s="19"/>
      <c r="Z60" s="20"/>
      <c r="AA60" t="str">
        <f t="shared" si="1"/>
        <v>MMA0</v>
      </c>
      <c r="AB60" t="str">
        <f t="shared" si="2"/>
        <v>MMA0</v>
      </c>
      <c r="AC60" t="str">
        <f>_xll.AdStyleStructure("IRS",E60)</f>
        <v>PAID:FIXED LBOTH SETTLE:0WD CCM:MMA0 DMC:M EMC:S CFADJ:YES REFDATE:MATURITY CLDR:UAE PDELAY:0 LFIXED FRQ:1 LFLOAT FRQ:4</v>
      </c>
    </row>
    <row r="61" spans="1:29" x14ac:dyDescent="0.35">
      <c r="A61" s="19" t="s">
        <v>1180</v>
      </c>
      <c r="B61" s="4" t="s">
        <v>1181</v>
      </c>
      <c r="C61" s="4" t="s">
        <v>1182</v>
      </c>
      <c r="D61" s="4" t="s">
        <v>1183</v>
      </c>
      <c r="E61" s="4" t="s">
        <v>1184</v>
      </c>
      <c r="F61" s="20" t="s">
        <v>1185</v>
      </c>
      <c r="G61" s="4" t="s">
        <v>1186</v>
      </c>
      <c r="H61" s="4" t="str">
        <f>"0#" &amp; B61 &amp; "TSY="</f>
        <v>0#GBTSY=</v>
      </c>
      <c r="I61" s="4" t="str">
        <f>D61&amp;"IRS"</f>
        <v>GBPIRS</v>
      </c>
      <c r="J61" s="4" t="s">
        <v>1187</v>
      </c>
      <c r="K61" s="4" t="s">
        <v>1188</v>
      </c>
      <c r="L61" s="4" t="s">
        <v>1189</v>
      </c>
      <c r="M61" s="4" t="s">
        <v>1190</v>
      </c>
      <c r="N61" s="4" t="s">
        <v>1189</v>
      </c>
      <c r="O61" s="4" t="s">
        <v>1191</v>
      </c>
      <c r="P61" s="4" t="s">
        <v>1192</v>
      </c>
      <c r="Q61" s="4" t="str">
        <f t="shared" si="0"/>
        <v>GBP</v>
      </c>
      <c r="R61" s="4" t="s">
        <v>1193</v>
      </c>
      <c r="S61" s="4" t="s">
        <v>1194</v>
      </c>
      <c r="T61" s="4" t="s">
        <v>1195</v>
      </c>
      <c r="V61" s="19"/>
      <c r="W61" s="20"/>
      <c r="Y61" s="19"/>
      <c r="Z61" s="20"/>
      <c r="AA61" t="str">
        <f t="shared" si="1"/>
        <v>BBA5</v>
      </c>
      <c r="AB61" t="str">
        <f t="shared" si="2"/>
        <v>MMA5</v>
      </c>
      <c r="AC61" t="str">
        <f>_xll.AdStyleStructure("IRS",E61)</f>
        <v>PAID:FIXED LBOTH SETTLE:0WD FRQ:2 DMC:M EMC:S CFADJ:YES REFDATE:MATURITY CLDR:UKG PDELAY:0 LFIXED CCM:BBA5 LFLOAT CCM:MMA5</v>
      </c>
    </row>
    <row r="62" spans="1:29" x14ac:dyDescent="0.35">
      <c r="A62" s="19" t="s">
        <v>1196</v>
      </c>
      <c r="B62" s="4" t="s">
        <v>1197</v>
      </c>
      <c r="C62" s="4" t="s">
        <v>1198</v>
      </c>
      <c r="D62" s="4" t="s">
        <v>1199</v>
      </c>
      <c r="E62" s="4" t="s">
        <v>1200</v>
      </c>
      <c r="F62" s="20" t="s">
        <v>1201</v>
      </c>
      <c r="G62" s="4" t="str">
        <f t="shared" si="9"/>
        <v>0#USTSYS=</v>
      </c>
      <c r="H62" s="4" t="str">
        <f>"0#" &amp; B62 &amp; "TSY="</f>
        <v>0#USTSY=</v>
      </c>
      <c r="I62" s="4" t="str">
        <f>D62&amp;"IRS"</f>
        <v>USDIRS</v>
      </c>
      <c r="J62" s="4" t="s">
        <v>1202</v>
      </c>
      <c r="K62" s="4" t="s">
        <v>1203</v>
      </c>
      <c r="L62" s="4" t="s">
        <v>1204</v>
      </c>
      <c r="M62" s="4" t="s">
        <v>1205</v>
      </c>
      <c r="N62" s="4" t="s">
        <v>1206</v>
      </c>
      <c r="O62" s="4" t="s">
        <v>1207</v>
      </c>
      <c r="P62" s="4" t="s">
        <v>1208</v>
      </c>
      <c r="Q62" s="4" t="str">
        <f t="shared" si="0"/>
        <v>USD</v>
      </c>
      <c r="R62" s="4" t="s">
        <v>1209</v>
      </c>
      <c r="S62" s="4" t="s">
        <v>1210</v>
      </c>
      <c r="T62" s="4" t="s">
        <v>1211</v>
      </c>
      <c r="V62" s="19"/>
      <c r="W62" s="20"/>
      <c r="Y62" s="19"/>
      <c r="Z62" s="20"/>
      <c r="AA62" t="str">
        <f t="shared" si="1"/>
        <v>MMA0</v>
      </c>
      <c r="AB62" t="str">
        <f t="shared" si="2"/>
        <v>MMA0</v>
      </c>
      <c r="AC62" t="str">
        <f>_xll.AdStyleStructure("IRS",E62)</f>
        <v>PAID:FIXED LBOTH SETTLE:2WD CCM:MMA0 DMC:M EMC:S CFADJ:YES REFDATE:MATURITY CLDR:USA,UKG PDELAY:0 LFIXED FRQ:1 LFLOAT FRQ:4</v>
      </c>
    </row>
    <row r="63" spans="1:29" x14ac:dyDescent="0.35">
      <c r="A63" s="19" t="s">
        <v>1212</v>
      </c>
      <c r="B63" s="4" t="s">
        <v>1213</v>
      </c>
      <c r="C63" s="4" t="s">
        <v>1214</v>
      </c>
      <c r="D63" s="4" t="s">
        <v>1215</v>
      </c>
      <c r="E63" s="4" t="s">
        <v>1216</v>
      </c>
      <c r="F63" s="20"/>
      <c r="G63" s="4"/>
      <c r="H63" s="4"/>
      <c r="I63" s="4" t="str">
        <f>D63&amp;"IRS"</f>
        <v>VNDIRS</v>
      </c>
      <c r="J63" s="4"/>
      <c r="K63" s="4"/>
      <c r="L63" s="4"/>
      <c r="M63" s="4"/>
      <c r="N63" s="4"/>
      <c r="O63" s="4"/>
      <c r="P63" s="4"/>
      <c r="Q63" s="4" t="str">
        <f t="shared" si="0"/>
        <v>VND</v>
      </c>
      <c r="R63" s="4"/>
      <c r="S63" s="4"/>
      <c r="T63" s="4"/>
      <c r="V63" s="19"/>
      <c r="W63" s="20"/>
      <c r="Y63" s="19"/>
      <c r="Z63" s="20"/>
      <c r="AA63" t="str">
        <f t="shared" si="1"/>
        <v>MMA5</v>
      </c>
      <c r="AB63" t="str">
        <f t="shared" si="2"/>
        <v>MMA5</v>
      </c>
      <c r="AC63" t="str">
        <f>_xll.AdStyleStructure("IRS",E63)</f>
        <v>PAID:FIXED LBOTH SETTLE:2WD FRQ:4 CCM:MMA5 DMC:MOD EMC:S CFADJ:YES REFDATE:MATURITY CLDR:VNM PDELAY:0</v>
      </c>
    </row>
    <row r="64" spans="1:29" x14ac:dyDescent="0.35">
      <c r="A64" s="19"/>
      <c r="B64" s="4"/>
      <c r="C64" s="4"/>
      <c r="D64" s="4"/>
      <c r="E64" s="4"/>
      <c r="F64" s="20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V64" s="19"/>
      <c r="W64" s="20"/>
      <c r="Y64" s="19"/>
      <c r="Z64" s="20"/>
      <c r="AC64" t="str">
        <f>_xll.AdStyleStructure("IRS",E64)</f>
        <v>ERROR 3050 - StyleCode : invalid value.</v>
      </c>
    </row>
    <row r="65" spans="1:29" x14ac:dyDescent="0.35">
      <c r="A65" s="19"/>
      <c r="B65" s="4"/>
      <c r="C65" s="4"/>
      <c r="D65" s="4"/>
      <c r="E65" s="4"/>
      <c r="F65" s="20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V65" s="19"/>
      <c r="W65" s="20"/>
      <c r="Y65" s="19"/>
      <c r="Z65" s="20"/>
      <c r="AC65" t="str">
        <f>_xll.AdStyleStructure("IRS",E65)</f>
        <v>ERROR 3050 - StyleCode : invalid value.</v>
      </c>
    </row>
    <row r="66" spans="1:29" x14ac:dyDescent="0.35">
      <c r="A66" s="19"/>
      <c r="B66" s="4"/>
      <c r="C66" s="4"/>
      <c r="D66" s="4"/>
      <c r="E66" s="4"/>
      <c r="F66" s="20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V66" s="19"/>
      <c r="W66" s="20"/>
      <c r="Y66" s="19"/>
      <c r="Z66" s="20"/>
      <c r="AC66" t="str">
        <f>_xll.AdStyleStructure("IRS",E66)</f>
        <v>ERROR 3050 - StyleCode : invalid value.</v>
      </c>
    </row>
    <row r="67" spans="1:29" x14ac:dyDescent="0.35">
      <c r="A67" s="19"/>
      <c r="B67" s="4"/>
      <c r="C67" s="4"/>
      <c r="D67" s="4"/>
      <c r="E67" s="4"/>
      <c r="F67" s="20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V67" s="19"/>
      <c r="W67" s="20"/>
      <c r="Y67" s="19"/>
      <c r="Z67" s="20"/>
      <c r="AC67" t="str">
        <f>_xll.AdStyleStructure("IRS",E67)</f>
        <v>ERROR 3050 - StyleCode : invalid value.</v>
      </c>
    </row>
    <row r="68" spans="1:29" x14ac:dyDescent="0.35">
      <c r="A68" s="19"/>
      <c r="B68" s="4"/>
      <c r="C68" s="4"/>
      <c r="D68" s="4"/>
      <c r="E68" s="4"/>
      <c r="F68" s="20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V68" s="19"/>
      <c r="W68" s="20"/>
      <c r="Y68" s="19"/>
      <c r="Z68" s="20"/>
    </row>
    <row r="69" spans="1:29" x14ac:dyDescent="0.35">
      <c r="A69" s="19"/>
      <c r="B69" s="4"/>
      <c r="C69" s="4"/>
      <c r="D69" s="4"/>
      <c r="E69" s="4"/>
      <c r="F69" s="20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V69" s="19"/>
      <c r="W69" s="20"/>
      <c r="Y69" s="19"/>
      <c r="Z69" s="20"/>
    </row>
    <row r="70" spans="1:29" x14ac:dyDescent="0.35">
      <c r="A70" s="19"/>
      <c r="B70" s="4"/>
      <c r="C70" s="4"/>
      <c r="D70" s="4"/>
      <c r="E70" s="4"/>
      <c r="F70" s="20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V70" s="19"/>
      <c r="W70" s="20"/>
      <c r="Y70" s="19"/>
      <c r="Z70" s="20"/>
    </row>
    <row r="71" spans="1:29" x14ac:dyDescent="0.35">
      <c r="A71" s="19"/>
      <c r="B71" s="4"/>
      <c r="C71" s="4"/>
      <c r="D71" s="4"/>
      <c r="E71" s="4"/>
      <c r="F71" s="20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V71" s="19"/>
      <c r="W71" s="20"/>
      <c r="Y71" s="19"/>
      <c r="Z71" s="20"/>
    </row>
    <row r="72" spans="1:29" x14ac:dyDescent="0.35">
      <c r="A72" s="19"/>
      <c r="B72" s="4"/>
      <c r="C72" s="4"/>
      <c r="D72" s="4"/>
      <c r="E72" s="4"/>
      <c r="F72" s="20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V72" s="19"/>
      <c r="W72" s="20"/>
      <c r="Y72" s="19"/>
      <c r="Z72" s="20"/>
    </row>
    <row r="73" spans="1:29" x14ac:dyDescent="0.35">
      <c r="A73" s="19"/>
      <c r="B73" s="4"/>
      <c r="C73" s="4"/>
      <c r="D73" s="4"/>
      <c r="E73" s="4"/>
      <c r="F73" s="20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V73" s="19"/>
      <c r="W73" s="20"/>
      <c r="Y73" s="19"/>
      <c r="Z73" s="20"/>
    </row>
    <row r="74" spans="1:29" x14ac:dyDescent="0.35">
      <c r="A74" s="19"/>
      <c r="B74" s="4"/>
      <c r="C74" s="4"/>
      <c r="D74" s="4"/>
      <c r="E74" s="4"/>
      <c r="F74" s="20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V74" s="19"/>
      <c r="W74" s="20"/>
      <c r="Y74" s="19"/>
      <c r="Z74" s="20"/>
    </row>
    <row r="75" spans="1:29" x14ac:dyDescent="0.35">
      <c r="A75" s="19"/>
      <c r="B75" s="4"/>
      <c r="C75" s="4"/>
      <c r="D75" s="4"/>
      <c r="E75" s="4"/>
      <c r="F75" s="20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V75" s="19"/>
      <c r="W75" s="20"/>
      <c r="Y75" s="19"/>
      <c r="Z75" s="20"/>
    </row>
    <row r="76" spans="1:29" x14ac:dyDescent="0.35">
      <c r="A76" s="19"/>
      <c r="B76" s="4"/>
      <c r="C76" s="4"/>
      <c r="D76" s="4"/>
      <c r="E76" s="4"/>
      <c r="F76" s="20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V76" s="19"/>
      <c r="W76" s="20"/>
      <c r="Y76" s="19"/>
      <c r="Z76" s="20"/>
    </row>
    <row r="77" spans="1:29" x14ac:dyDescent="0.35">
      <c r="A77" s="19"/>
      <c r="B77" s="4"/>
      <c r="C77" s="4"/>
      <c r="D77" s="4"/>
      <c r="E77" s="4"/>
      <c r="F77" s="20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V77" s="19"/>
      <c r="W77" s="20"/>
      <c r="Y77" s="19"/>
      <c r="Z77" s="20"/>
    </row>
    <row r="78" spans="1:29" x14ac:dyDescent="0.35">
      <c r="A78" s="19"/>
      <c r="B78" s="4"/>
      <c r="C78" s="4"/>
      <c r="D78" s="4"/>
      <c r="E78" s="4"/>
      <c r="F78" s="20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V78" s="19"/>
      <c r="W78" s="20"/>
      <c r="Y78" s="19"/>
      <c r="Z78" s="20"/>
    </row>
    <row r="79" spans="1:29" x14ac:dyDescent="0.35">
      <c r="A79" s="19"/>
      <c r="B79" s="4"/>
      <c r="C79" s="4"/>
      <c r="D79" s="4"/>
      <c r="E79" s="4"/>
      <c r="F79" s="20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V79" s="19"/>
      <c r="W79" s="20"/>
      <c r="Y79" s="19"/>
      <c r="Z79" s="20"/>
    </row>
    <row r="80" spans="1:29" x14ac:dyDescent="0.35">
      <c r="A80" s="19"/>
      <c r="B80" s="4"/>
      <c r="C80" s="4"/>
      <c r="D80" s="4"/>
      <c r="E80" s="4"/>
      <c r="F80" s="20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V80" s="19"/>
      <c r="W80" s="20"/>
      <c r="Y80" s="19"/>
      <c r="Z80" s="20"/>
    </row>
    <row r="81" spans="1:26" x14ac:dyDescent="0.35">
      <c r="A81" s="19"/>
      <c r="B81" s="4"/>
      <c r="C81" s="4"/>
      <c r="D81" s="4"/>
      <c r="E81" s="4"/>
      <c r="F81" s="20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V81" s="19"/>
      <c r="W81" s="20"/>
      <c r="Y81" s="19"/>
      <c r="Z81" s="20"/>
    </row>
    <row r="82" spans="1:26" x14ac:dyDescent="0.35">
      <c r="A82" s="19"/>
      <c r="B82" s="4"/>
      <c r="C82" s="4"/>
      <c r="D82" s="4"/>
      <c r="E82" s="4"/>
      <c r="F82" s="20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V82" s="19"/>
      <c r="W82" s="20"/>
      <c r="Y82" s="19"/>
      <c r="Z82" s="20"/>
    </row>
    <row r="83" spans="1:26" x14ac:dyDescent="0.35">
      <c r="A83" s="19"/>
      <c r="B83" s="4"/>
      <c r="C83" s="4"/>
      <c r="D83" s="4"/>
      <c r="E83" s="4"/>
      <c r="F83" s="20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V83" s="19"/>
      <c r="W83" s="20"/>
      <c r="Y83" s="19"/>
      <c r="Z83" s="20"/>
    </row>
    <row r="84" spans="1:26" x14ac:dyDescent="0.35">
      <c r="A84" s="19"/>
      <c r="B84" s="4"/>
      <c r="C84" s="4"/>
      <c r="D84" s="4"/>
      <c r="E84" s="4"/>
      <c r="F84" s="20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V84" s="19"/>
      <c r="W84" s="20"/>
      <c r="Y84" s="19"/>
      <c r="Z84" s="20"/>
    </row>
    <row r="85" spans="1:26" x14ac:dyDescent="0.35">
      <c r="A85" s="19"/>
      <c r="B85" s="4"/>
      <c r="C85" s="4"/>
      <c r="D85" s="4"/>
      <c r="E85" s="4"/>
      <c r="F85" s="20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V85" s="19"/>
      <c r="W85" s="20"/>
      <c r="Y85" s="19"/>
      <c r="Z85" s="20"/>
    </row>
    <row r="86" spans="1:26" x14ac:dyDescent="0.35">
      <c r="A86" s="19"/>
      <c r="B86" s="4"/>
      <c r="C86" s="4"/>
      <c r="D86" s="4"/>
      <c r="E86" s="4"/>
      <c r="F86" s="20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V86" s="19"/>
      <c r="W86" s="20"/>
      <c r="Y86" s="19"/>
      <c r="Z86" s="20"/>
    </row>
    <row r="87" spans="1:26" x14ac:dyDescent="0.35">
      <c r="A87" s="19"/>
      <c r="B87" s="4"/>
      <c r="C87" s="4"/>
      <c r="D87" s="4"/>
      <c r="E87" s="4"/>
      <c r="F87" s="20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V87" s="19"/>
      <c r="W87" s="20"/>
      <c r="Y87" s="19"/>
      <c r="Z87" s="20"/>
    </row>
    <row r="88" spans="1:26" x14ac:dyDescent="0.35">
      <c r="A88" s="19"/>
      <c r="B88" s="4"/>
      <c r="C88" s="4"/>
      <c r="D88" s="4"/>
      <c r="E88" s="4"/>
      <c r="F88" s="20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V88" s="19"/>
      <c r="W88" s="20"/>
      <c r="Y88" s="19"/>
      <c r="Z88" s="20"/>
    </row>
    <row r="89" spans="1:26" x14ac:dyDescent="0.35">
      <c r="A89" s="19"/>
      <c r="B89" s="4"/>
      <c r="C89" s="4"/>
      <c r="D89" s="4"/>
      <c r="E89" s="4"/>
      <c r="F89" s="20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V89" s="19"/>
      <c r="W89" s="20"/>
      <c r="Y89" s="19"/>
      <c r="Z89" s="20"/>
    </row>
    <row r="90" spans="1:26" x14ac:dyDescent="0.35">
      <c r="A90" s="19"/>
      <c r="B90" s="4"/>
      <c r="C90" s="4"/>
      <c r="D90" s="4"/>
      <c r="E90" s="4"/>
      <c r="F90" s="20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V90" s="19"/>
      <c r="W90" s="20"/>
      <c r="Y90" s="19"/>
      <c r="Z90" s="20"/>
    </row>
    <row r="91" spans="1:26" x14ac:dyDescent="0.35">
      <c r="A91" s="19"/>
      <c r="B91" s="4"/>
      <c r="C91" s="4"/>
      <c r="D91" s="4"/>
      <c r="E91" s="4"/>
      <c r="F91" s="20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V91" s="19"/>
      <c r="W91" s="20"/>
      <c r="Y91" s="19"/>
      <c r="Z91" s="20"/>
    </row>
    <row r="92" spans="1:26" x14ac:dyDescent="0.35">
      <c r="A92" s="19"/>
      <c r="B92" s="4"/>
      <c r="C92" s="4"/>
      <c r="D92" s="4"/>
      <c r="E92" s="4"/>
      <c r="F92" s="20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V92" s="19"/>
      <c r="W92" s="20"/>
      <c r="Y92" s="19"/>
      <c r="Z92" s="20"/>
    </row>
    <row r="93" spans="1:26" x14ac:dyDescent="0.35">
      <c r="A93" s="19"/>
      <c r="B93" s="4"/>
      <c r="C93" s="4"/>
      <c r="D93" s="4"/>
      <c r="E93" s="4"/>
      <c r="F93" s="20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V93" s="19"/>
      <c r="W93" s="20"/>
      <c r="Y93" s="19"/>
      <c r="Z93" s="20"/>
    </row>
    <row r="94" spans="1:26" x14ac:dyDescent="0.35">
      <c r="A94" s="19"/>
      <c r="B94" s="4"/>
      <c r="C94" s="4"/>
      <c r="D94" s="4"/>
      <c r="E94" s="4"/>
      <c r="F94" s="20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V94" s="19"/>
      <c r="W94" s="20"/>
      <c r="Y94" s="19"/>
      <c r="Z94" s="20"/>
    </row>
    <row r="95" spans="1:26" x14ac:dyDescent="0.35">
      <c r="A95" s="19"/>
      <c r="B95" s="4"/>
      <c r="C95" s="4"/>
      <c r="D95" s="4"/>
      <c r="E95" s="4"/>
      <c r="F95" s="20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V95" s="19"/>
      <c r="W95" s="20"/>
      <c r="Y95" s="19"/>
      <c r="Z95" s="20"/>
    </row>
    <row r="96" spans="1:26" x14ac:dyDescent="0.35">
      <c r="A96" s="19"/>
      <c r="B96" s="4"/>
      <c r="C96" s="4"/>
      <c r="D96" s="4"/>
      <c r="E96" s="4"/>
      <c r="F96" s="20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V96" s="19"/>
      <c r="W96" s="20"/>
      <c r="Y96" s="19"/>
      <c r="Z96" s="20"/>
    </row>
    <row r="97" spans="1:26" x14ac:dyDescent="0.35">
      <c r="A97" s="19"/>
      <c r="B97" s="4"/>
      <c r="C97" s="4"/>
      <c r="D97" s="4"/>
      <c r="E97" s="4"/>
      <c r="F97" s="20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V97" s="19"/>
      <c r="W97" s="20"/>
      <c r="Y97" s="19"/>
      <c r="Z97" s="20"/>
    </row>
    <row r="98" spans="1:26" ht="15" thickBot="1" x14ac:dyDescent="0.4">
      <c r="A98" s="24"/>
      <c r="B98" s="25"/>
      <c r="C98" s="25"/>
      <c r="D98" s="25"/>
      <c r="E98" s="25"/>
      <c r="F98" s="26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V98" s="24"/>
      <c r="W98" s="26"/>
      <c r="Y98" s="24"/>
      <c r="Z98" s="26"/>
    </row>
  </sheetData>
  <sortState xmlns:xlrd2="http://schemas.microsoft.com/office/spreadsheetml/2017/richdata2" ref="V2:W32">
    <sortCondition ref="V2"/>
  </sortState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40"/>
  <sheetViews>
    <sheetView topLeftCell="A14" zoomScale="124" zoomScaleNormal="124" workbookViewId="0">
      <selection activeCell="E10" sqref="E10"/>
    </sheetView>
  </sheetViews>
  <sheetFormatPr defaultRowHeight="14.5" x14ac:dyDescent="0.35"/>
  <cols>
    <col min="1" max="1" width="20.54296875" bestFit="1" customWidth="1"/>
    <col min="2" max="2" width="50.54296875" customWidth="1"/>
    <col min="3" max="3" width="15.26953125" customWidth="1"/>
  </cols>
  <sheetData>
    <row r="1" spans="1:3" x14ac:dyDescent="0.35">
      <c r="A1" s="36" t="s">
        <v>25</v>
      </c>
      <c r="B1" s="37" t="str">
        <f>data!I2</f>
        <v>DE110490=</v>
      </c>
    </row>
    <row r="2" spans="1:3" x14ac:dyDescent="0.35">
      <c r="A2" s="38" t="s">
        <v>5</v>
      </c>
      <c r="B2" s="39" t="str">
        <f>data!I3</f>
        <v>EUR</v>
      </c>
    </row>
    <row r="3" spans="1:3" x14ac:dyDescent="0.35">
      <c r="A3" s="38" t="s">
        <v>6</v>
      </c>
      <c r="B3" s="43">
        <f>data!I5</f>
        <v>45623</v>
      </c>
    </row>
    <row r="4" spans="1:3" x14ac:dyDescent="0.35">
      <c r="A4" s="38" t="s">
        <v>41</v>
      </c>
      <c r="B4" s="43">
        <f>data!I6</f>
        <v>45621</v>
      </c>
    </row>
    <row r="5" spans="1:3" x14ac:dyDescent="0.35">
      <c r="A5" s="38" t="s">
        <v>50</v>
      </c>
      <c r="B5" s="43">
        <f>data!I7</f>
        <v>45638</v>
      </c>
    </row>
    <row r="6" spans="1:3" x14ac:dyDescent="0.35">
      <c r="A6" s="38" t="s">
        <v>62</v>
      </c>
      <c r="B6" s="39">
        <f>data!I8</f>
        <v>3.1899999999999998E-2</v>
      </c>
      <c r="C6" s="12"/>
    </row>
    <row r="7" spans="1:3" x14ac:dyDescent="0.35">
      <c r="A7" s="38" t="s">
        <v>67</v>
      </c>
      <c r="B7" s="39">
        <f>data!I9</f>
        <v>2.3029999999999998E-2</v>
      </c>
    </row>
    <row r="8" spans="1:3" x14ac:dyDescent="0.35">
      <c r="A8" s="38" t="s">
        <v>66</v>
      </c>
      <c r="B8" s="39">
        <f>data!I10</f>
        <v>99.950999999999993</v>
      </c>
    </row>
    <row r="9" spans="1:3" x14ac:dyDescent="0.35">
      <c r="A9" s="38" t="s">
        <v>71</v>
      </c>
      <c r="B9" s="39">
        <f>data!I11</f>
        <v>99.992999999999995</v>
      </c>
    </row>
    <row r="10" spans="1:3" x14ac:dyDescent="0.35">
      <c r="A10" s="38" t="s">
        <v>76</v>
      </c>
      <c r="B10" s="39" t="str">
        <f>data!I12</f>
        <v>PXC</v>
      </c>
    </row>
    <row r="11" spans="1:3" ht="58" x14ac:dyDescent="0.35">
      <c r="A11" s="38" t="s">
        <v>1217</v>
      </c>
      <c r="B11" s="44" t="str">
        <f>data!I15</f>
        <v xml:space="preserve">ACC:AA CCM:BBAA CFADJ:NO CLDR:EMU_FI DATED:10NOV2022 DMC:F EMC:S FRCD:12DEC2023 FRQ:1 ISSUE:10NOV2022 NOTIONAL:1 PX:C PXRND:1E-5:NEAR REFDATE:MATURITY RP:1 SETTLE:2WD XD:NO </v>
      </c>
    </row>
    <row r="12" spans="1:3" ht="13.5" customHeight="1" thickBot="1" x14ac:dyDescent="0.4">
      <c r="A12" s="40" t="s">
        <v>94</v>
      </c>
      <c r="B12" s="45" t="str">
        <f>data!I17</f>
        <v>Act/Act</v>
      </c>
    </row>
    <row r="17" spans="1:2" x14ac:dyDescent="0.35">
      <c r="A17" s="6" t="s">
        <v>1218</v>
      </c>
      <c r="B17" cm="1">
        <f t="array" ref="B17">BillPrice(100,(B6+B7)/2,(B5-B4)/360)</f>
        <v>99.870472158879608</v>
      </c>
    </row>
    <row r="39" spans="2:2" x14ac:dyDescent="0.35">
      <c r="B39" s="42"/>
    </row>
    <row r="40" spans="2:2" x14ac:dyDescent="0.35">
      <c r="B40" s="4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608"/>
  <sheetViews>
    <sheetView tabSelected="1" topLeftCell="A5" zoomScale="53" workbookViewId="0">
      <selection activeCell="B33" sqref="B33"/>
    </sheetView>
  </sheetViews>
  <sheetFormatPr defaultRowHeight="14.5" x14ac:dyDescent="0.35"/>
  <cols>
    <col min="1" max="1" width="20.54296875" bestFit="1" customWidth="1"/>
    <col min="2" max="2" width="20.26953125" bestFit="1" customWidth="1"/>
    <col min="3" max="3" width="54.54296875" customWidth="1"/>
    <col min="4" max="4" width="20.26953125" customWidth="1"/>
  </cols>
  <sheetData>
    <row r="1" spans="1:4" ht="15" thickBot="1" x14ac:dyDescent="0.4">
      <c r="A1" s="47" t="s">
        <v>25</v>
      </c>
      <c r="B1" s="37" t="str">
        <f>data!L2</f>
        <v>DEBU2207=</v>
      </c>
      <c r="D1" s="54" t="s">
        <v>1219</v>
      </c>
    </row>
    <row r="2" spans="1:4" ht="15" thickBot="1" x14ac:dyDescent="0.4">
      <c r="A2" s="48" t="s">
        <v>5</v>
      </c>
      <c r="B2" s="37" t="str">
        <f>data!L3</f>
        <v>EUR</v>
      </c>
      <c r="D2" s="51">
        <f>IFERROR(data!L36,"")</f>
        <v>46001</v>
      </c>
    </row>
    <row r="3" spans="1:4" ht="15" thickBot="1" x14ac:dyDescent="0.4">
      <c r="A3" s="48" t="s">
        <v>6</v>
      </c>
      <c r="B3" s="53">
        <f>data!L5</f>
        <v>45623</v>
      </c>
      <c r="D3" s="51">
        <f>IFERROR(data!L37,"")</f>
        <v>46366</v>
      </c>
    </row>
    <row r="4" spans="1:4" ht="15" thickBot="1" x14ac:dyDescent="0.4">
      <c r="A4" s="48" t="s">
        <v>41</v>
      </c>
      <c r="B4" s="53">
        <f>data!L6</f>
        <v>45621</v>
      </c>
      <c r="D4" s="51">
        <f>IFERROR(data!L38,"")</f>
        <v>0</v>
      </c>
    </row>
    <row r="5" spans="1:4" ht="15" thickBot="1" x14ac:dyDescent="0.4">
      <c r="A5" s="48" t="s">
        <v>50</v>
      </c>
      <c r="B5" s="53">
        <f>data!L7</f>
        <v>46366</v>
      </c>
      <c r="D5" s="51">
        <f>IFERROR(data!L39,"")</f>
        <v>0</v>
      </c>
    </row>
    <row r="6" spans="1:4" ht="15" thickBot="1" x14ac:dyDescent="0.4">
      <c r="A6" s="48" t="s">
        <v>56</v>
      </c>
      <c r="B6" s="37">
        <f>data!L8</f>
        <v>0.02</v>
      </c>
      <c r="D6" s="51">
        <f>IFERROR(data!L40,"")</f>
        <v>0</v>
      </c>
    </row>
    <row r="7" spans="1:4" ht="15" thickBot="1" x14ac:dyDescent="0.4">
      <c r="A7" s="48" t="s">
        <v>62</v>
      </c>
      <c r="B7" s="37">
        <f>data!L9</f>
        <v>2.1110000000000004E-2</v>
      </c>
      <c r="D7" s="51">
        <f>IFERROR(data!L41,"")</f>
        <v>0</v>
      </c>
    </row>
    <row r="8" spans="1:4" ht="15" thickBot="1" x14ac:dyDescent="0.4">
      <c r="A8" s="48" t="s">
        <v>67</v>
      </c>
      <c r="B8" s="37">
        <f>data!L10</f>
        <v>2.094E-2</v>
      </c>
      <c r="D8" s="51">
        <f>IFERROR(data!L42,"")</f>
        <v>0</v>
      </c>
    </row>
    <row r="9" spans="1:4" ht="15" thickBot="1" x14ac:dyDescent="0.4">
      <c r="A9" s="48" t="s">
        <v>72</v>
      </c>
      <c r="B9" s="37">
        <f>data!L11</f>
        <v>99.775000000000006</v>
      </c>
      <c r="D9" s="51">
        <f>IFERROR(data!L43,"")</f>
        <v>0</v>
      </c>
    </row>
    <row r="10" spans="1:4" x14ac:dyDescent="0.35">
      <c r="A10" s="48" t="s">
        <v>77</v>
      </c>
      <c r="B10" s="37">
        <f>data!L12</f>
        <v>99.81</v>
      </c>
      <c r="D10" s="51">
        <f>IFERROR(data!L44,"")</f>
        <v>0</v>
      </c>
    </row>
    <row r="11" spans="1:4" x14ac:dyDescent="0.35">
      <c r="A11" s="48" t="s">
        <v>85</v>
      </c>
      <c r="B11" s="109" t="str">
        <f>data!L15</f>
        <v xml:space="preserve">ACC:AA CCM:BBAA CFADJ:NO CLDR:EMU_FI DATED:24OCT2024 DMC:F EMC:S FRCD:10DEC2025 FRQ:1 ISSUE:24OCT2024 NOTIONAL:1 PX:C PXRND:1E-5:NEAR REFDATE:MATURITY RP:1 SETTLE:2WD XD:NO </v>
      </c>
      <c r="C11" s="109"/>
      <c r="D11" s="51">
        <f>IFERROR(data!L45,"")</f>
        <v>0</v>
      </c>
    </row>
    <row r="12" spans="1:4" x14ac:dyDescent="0.35">
      <c r="A12" s="48"/>
      <c r="B12" s="109"/>
      <c r="C12" s="109"/>
      <c r="D12" s="51">
        <f>IFERROR(data!L46,"")</f>
        <v>0</v>
      </c>
    </row>
    <row r="13" spans="1:4" x14ac:dyDescent="0.35">
      <c r="A13" s="48"/>
      <c r="B13" s="109"/>
      <c r="C13" s="109"/>
      <c r="D13" s="51">
        <f>IFERROR(data!L47,"")</f>
        <v>0</v>
      </c>
    </row>
    <row r="14" spans="1:4" x14ac:dyDescent="0.35">
      <c r="A14" s="49" t="s">
        <v>1220</v>
      </c>
      <c r="B14" s="43" t="s">
        <v>1221</v>
      </c>
      <c r="D14" s="51">
        <f>IFERROR(data!L48,"")</f>
        <v>0</v>
      </c>
    </row>
    <row r="15" spans="1:4" x14ac:dyDescent="0.35">
      <c r="A15" s="50" t="s">
        <v>1222</v>
      </c>
      <c r="B15" s="43">
        <f>data!L18</f>
        <v>46001</v>
      </c>
      <c r="D15" s="51">
        <f>IFERROR(data!L49,"")</f>
        <v>0</v>
      </c>
    </row>
    <row r="16" spans="1:4" x14ac:dyDescent="0.35">
      <c r="A16" s="49" t="s">
        <v>1223</v>
      </c>
      <c r="B16" s="43">
        <v>45803</v>
      </c>
      <c r="D16" s="51">
        <f>IFERROR(data!L50,"")</f>
        <v>0</v>
      </c>
    </row>
    <row r="17" spans="1:4" x14ac:dyDescent="0.35">
      <c r="A17" s="49" t="s">
        <v>118</v>
      </c>
      <c r="B17" s="43">
        <f>data!L22</f>
        <v>45589</v>
      </c>
      <c r="C17" s="6" t="s">
        <v>1224</v>
      </c>
      <c r="D17" s="51">
        <f>IFERROR(data!L51,"")</f>
        <v>0</v>
      </c>
    </row>
    <row r="18" spans="1:4" ht="15" thickBot="1" x14ac:dyDescent="0.4">
      <c r="A18" s="49" t="s">
        <v>1225</v>
      </c>
      <c r="B18" s="43">
        <f>data!L23</f>
        <v>45589</v>
      </c>
      <c r="C18" s="91">
        <f>nextCouponDate-B18</f>
        <v>412</v>
      </c>
      <c r="D18" s="51">
        <f>IFERROR(data!L52,"")</f>
        <v>0</v>
      </c>
    </row>
    <row r="19" spans="1:4" x14ac:dyDescent="0.35">
      <c r="A19" s="48" t="s">
        <v>94</v>
      </c>
      <c r="B19" s="37" t="str">
        <f>data!L26</f>
        <v>Act/Act</v>
      </c>
      <c r="D19" s="51">
        <f>IFERROR(data!L53,"")</f>
        <v>0</v>
      </c>
    </row>
    <row r="20" spans="1:4" x14ac:dyDescent="0.35">
      <c r="D20" s="51">
        <f>IFERROR(data!L54,"")</f>
        <v>0</v>
      </c>
    </row>
    <row r="21" spans="1:4" x14ac:dyDescent="0.35">
      <c r="A21" s="6" t="s">
        <v>1226</v>
      </c>
      <c r="B21" s="91" cm="1">
        <f t="array" ref="B21">BondPrice($B$6*100,2,($B$7+$B$8)/2,1,(nextCouponDate-B18)/365,100)</f>
        <v>99.53425281009379</v>
      </c>
      <c r="D21" s="51">
        <f>IFERROR(data!L55,"")</f>
        <v>0</v>
      </c>
    </row>
    <row r="22" spans="1:4" x14ac:dyDescent="0.35">
      <c r="A22" s="6" t="s">
        <v>1227</v>
      </c>
      <c r="B22" s="3" t="s">
        <v>1228</v>
      </c>
      <c r="C22" s="12"/>
      <c r="D22" s="51">
        <f>IFERROR(data!L56,"")</f>
        <v>0</v>
      </c>
    </row>
    <row r="23" spans="1:4" x14ac:dyDescent="0.35">
      <c r="A23" s="6" t="s">
        <v>1229</v>
      </c>
      <c r="B23" cm="1">
        <f t="array" ref="B23">modDuration(B6*100,2,(B7+B8)/2,1,(nextCouponDate-B18)/365,100)</f>
        <v>2.0657084429109807</v>
      </c>
      <c r="D23" s="51">
        <f>IFERROR(data!L57,"")</f>
        <v>0</v>
      </c>
    </row>
    <row r="24" spans="1:4" x14ac:dyDescent="0.35">
      <c r="A24" s="6" t="s">
        <v>1230</v>
      </c>
      <c r="B24" cm="1">
        <f t="array" ref="B24">convexity($B$6*100,2,($B$7+$B$8)/2,1,(nextCouponDate-B18)/365,100)</f>
        <v>6.3087802704301872</v>
      </c>
      <c r="D24" s="51">
        <f>IFERROR(data!L58,"")</f>
        <v>0</v>
      </c>
    </row>
    <row r="25" spans="1:4" x14ac:dyDescent="0.35">
      <c r="A25" s="6"/>
      <c r="D25" s="51">
        <f>IFERROR(data!L59,"")</f>
        <v>0</v>
      </c>
    </row>
    <row r="26" spans="1:4" x14ac:dyDescent="0.35">
      <c r="A26" s="6" t="s">
        <v>1231</v>
      </c>
      <c r="C26" s="6" t="s">
        <v>1232</v>
      </c>
      <c r="D26" s="51">
        <f>IFERROR(data!L60,"")</f>
        <v>0</v>
      </c>
    </row>
    <row r="27" spans="1:4" x14ac:dyDescent="0.35">
      <c r="A27" s="6" t="s">
        <v>1226</v>
      </c>
      <c r="B27" s="91" cm="1">
        <f t="array" ref="B27">BondPrice($B$6*100,2,($B$7+$B$8+ 0.002)/2,1,(nextCouponDate-B18)/365,100)</f>
        <v>99.328957611629761</v>
      </c>
      <c r="C27" s="93">
        <f>1 - (B27/B21)</f>
        <v>2.0625582919251428E-3</v>
      </c>
      <c r="D27" s="51">
        <f>IFERROR(data!L61,"")</f>
        <v>0</v>
      </c>
    </row>
    <row r="28" spans="1:4" x14ac:dyDescent="0.35">
      <c r="A28" s="6" t="s">
        <v>1227</v>
      </c>
      <c r="B28" s="3" t="s">
        <v>1228</v>
      </c>
      <c r="C28" s="82"/>
      <c r="D28" s="51">
        <f>IFERROR(data!L62,"")</f>
        <v>0</v>
      </c>
    </row>
    <row r="29" spans="1:4" x14ac:dyDescent="0.35">
      <c r="A29" s="6" t="s">
        <v>1229</v>
      </c>
      <c r="B29" cm="1">
        <f t="array" ref="B29">modDuration(B6*100,2,(B7+B8+0.002)/2,1,(nextCouponDate-B18)/365,100)</f>
        <v>2.0636688119971964</v>
      </c>
      <c r="C29" s="82">
        <f t="shared" ref="C29:C30" si="0">1 - (B29/B23)</f>
        <v>9.8737598753773081E-4</v>
      </c>
      <c r="D29" s="51">
        <f>IFERROR(data!L63,"")</f>
        <v>0</v>
      </c>
    </row>
    <row r="30" spans="1:4" x14ac:dyDescent="0.35">
      <c r="A30" s="6" t="s">
        <v>1230</v>
      </c>
      <c r="B30" cm="1">
        <f t="array" ref="B30">convexity($B$6*100,2,($B$7+$B$8+0.002)/2,1,(nextCouponDate-B18)/365,100)</f>
        <v>6.2963638487976086</v>
      </c>
      <c r="C30" s="82">
        <f t="shared" si="0"/>
        <v>1.9681176234296327E-3</v>
      </c>
      <c r="D30" s="51">
        <f>IFERROR(data!L64,"")</f>
        <v>0</v>
      </c>
    </row>
    <row r="31" spans="1:4" x14ac:dyDescent="0.35">
      <c r="D31" s="51">
        <f>IFERROR(data!L65,"")</f>
        <v>0</v>
      </c>
    </row>
    <row r="32" spans="1:4" x14ac:dyDescent="0.35">
      <c r="B32" s="82"/>
      <c r="D32" s="51">
        <f>IFERROR(data!L66,"")</f>
        <v>0</v>
      </c>
    </row>
    <row r="33" spans="1:4" x14ac:dyDescent="0.35">
      <c r="A33" s="6" t="s">
        <v>1233</v>
      </c>
      <c r="B33">
        <f>-B21*B23*(0.001)+0.5*B21*B24*(0.001^2)</f>
        <v>-0.20529477652346659</v>
      </c>
      <c r="D33" s="51">
        <f>IFERROR(data!L67,"")</f>
        <v>0</v>
      </c>
    </row>
    <row r="34" spans="1:4" x14ac:dyDescent="0.35">
      <c r="D34" s="51">
        <f>IFERROR(data!L68,"")</f>
        <v>0</v>
      </c>
    </row>
    <row r="35" spans="1:4" x14ac:dyDescent="0.35">
      <c r="A35" s="6"/>
      <c r="D35" s="51">
        <f>IFERROR(data!L69,"")</f>
        <v>0</v>
      </c>
    </row>
    <row r="36" spans="1:4" x14ac:dyDescent="0.35">
      <c r="A36" s="6"/>
      <c r="D36" s="51">
        <f>IFERROR(data!L70,"")</f>
        <v>0</v>
      </c>
    </row>
    <row r="37" spans="1:4" x14ac:dyDescent="0.35">
      <c r="A37" s="6"/>
      <c r="D37" s="51">
        <f>IFERROR(data!L71,"")</f>
        <v>0</v>
      </c>
    </row>
    <row r="38" spans="1:4" x14ac:dyDescent="0.35">
      <c r="A38" s="6"/>
      <c r="D38" s="51">
        <f>IFERROR(data!L72,"")</f>
        <v>0</v>
      </c>
    </row>
    <row r="39" spans="1:4" x14ac:dyDescent="0.35">
      <c r="A39" s="6"/>
      <c r="D39" s="51">
        <f>IFERROR(data!L73,"")</f>
        <v>0</v>
      </c>
    </row>
    <row r="40" spans="1:4" x14ac:dyDescent="0.35">
      <c r="B40" s="41"/>
      <c r="D40" s="51">
        <f>IFERROR(data!L74,"")</f>
        <v>0</v>
      </c>
    </row>
    <row r="41" spans="1:4" x14ac:dyDescent="0.35">
      <c r="A41" s="6"/>
      <c r="D41" s="51">
        <f>IFERROR(data!L75,"")</f>
        <v>0</v>
      </c>
    </row>
    <row r="42" spans="1:4" x14ac:dyDescent="0.35">
      <c r="A42" s="6"/>
      <c r="D42" s="51">
        <f>IFERROR(data!L76,"")</f>
        <v>0</v>
      </c>
    </row>
    <row r="43" spans="1:4" x14ac:dyDescent="0.35">
      <c r="D43" s="51">
        <f>IFERROR(data!L77,"")</f>
        <v>0</v>
      </c>
    </row>
    <row r="44" spans="1:4" x14ac:dyDescent="0.35">
      <c r="D44" s="51">
        <f>IFERROR(data!L78,"")</f>
        <v>0</v>
      </c>
    </row>
    <row r="45" spans="1:4" x14ac:dyDescent="0.35">
      <c r="A45" s="6"/>
      <c r="D45" s="51">
        <f>IFERROR(data!L79,"")</f>
        <v>0</v>
      </c>
    </row>
    <row r="46" spans="1:4" x14ac:dyDescent="0.35">
      <c r="D46" s="51">
        <f>IFERROR(data!L80,"")</f>
        <v>0</v>
      </c>
    </row>
    <row r="47" spans="1:4" x14ac:dyDescent="0.35">
      <c r="D47" s="51">
        <f>IFERROR(data!L81,"")</f>
        <v>0</v>
      </c>
    </row>
    <row r="48" spans="1:4" x14ac:dyDescent="0.35">
      <c r="C48" s="3"/>
      <c r="D48" s="51">
        <f>IFERROR(data!L82,"")</f>
        <v>0</v>
      </c>
    </row>
    <row r="49" spans="2:4" x14ac:dyDescent="0.35">
      <c r="C49" s="3"/>
      <c r="D49" s="51">
        <f>IFERROR(data!L83,"")</f>
        <v>0</v>
      </c>
    </row>
    <row r="50" spans="2:4" x14ac:dyDescent="0.35">
      <c r="C50" s="3"/>
      <c r="D50" s="51">
        <f>IFERROR(data!L84,"")</f>
        <v>0</v>
      </c>
    </row>
    <row r="51" spans="2:4" x14ac:dyDescent="0.35">
      <c r="C51" s="3"/>
      <c r="D51" s="51">
        <f>IFERROR(data!L85,"")</f>
        <v>0</v>
      </c>
    </row>
    <row r="52" spans="2:4" x14ac:dyDescent="0.35">
      <c r="D52" s="51">
        <f>IFERROR(data!L86,"")</f>
        <v>0</v>
      </c>
    </row>
    <row r="53" spans="2:4" x14ac:dyDescent="0.35">
      <c r="D53" s="51">
        <f>IFERROR(data!L87,"")</f>
        <v>0</v>
      </c>
    </row>
    <row r="54" spans="2:4" x14ac:dyDescent="0.35">
      <c r="C54" s="3"/>
      <c r="D54" s="51">
        <f>IFERROR(data!L88,"")</f>
        <v>0</v>
      </c>
    </row>
    <row r="55" spans="2:4" x14ac:dyDescent="0.35">
      <c r="C55" s="3"/>
      <c r="D55" s="51">
        <f>IFERROR(data!L89,"")</f>
        <v>0</v>
      </c>
    </row>
    <row r="56" spans="2:4" x14ac:dyDescent="0.35">
      <c r="C56" s="3"/>
      <c r="D56" s="51">
        <f>IFERROR(data!L90,"")</f>
        <v>0</v>
      </c>
    </row>
    <row r="57" spans="2:4" x14ac:dyDescent="0.35">
      <c r="B57" s="3"/>
      <c r="C57" s="3"/>
      <c r="D57" s="51">
        <f>IFERROR(data!L91,"")</f>
        <v>0</v>
      </c>
    </row>
    <row r="58" spans="2:4" x14ac:dyDescent="0.35">
      <c r="B58" s="3"/>
      <c r="C58" s="3"/>
      <c r="D58" s="51">
        <f>IFERROR(data!L92,"")</f>
        <v>0</v>
      </c>
    </row>
    <row r="59" spans="2:4" x14ac:dyDescent="0.35">
      <c r="B59" s="3"/>
      <c r="C59" s="3"/>
      <c r="D59" s="51">
        <f>IFERROR(data!L93,"")</f>
        <v>0</v>
      </c>
    </row>
    <row r="60" spans="2:4" x14ac:dyDescent="0.35">
      <c r="B60" s="3"/>
      <c r="C60" s="3"/>
      <c r="D60" s="51">
        <f>IFERROR(data!L94,"")</f>
        <v>0</v>
      </c>
    </row>
    <row r="61" spans="2:4" x14ac:dyDescent="0.35">
      <c r="B61" s="3"/>
      <c r="C61" s="3"/>
      <c r="D61" s="51">
        <f>IFERROR(data!L95,"")</f>
        <v>0</v>
      </c>
    </row>
    <row r="62" spans="2:4" x14ac:dyDescent="0.35">
      <c r="B62" s="3"/>
      <c r="C62" s="3"/>
      <c r="D62" s="51">
        <f>IFERROR(data!L96,"")</f>
        <v>0</v>
      </c>
    </row>
    <row r="63" spans="2:4" x14ac:dyDescent="0.35">
      <c r="B63" s="3"/>
      <c r="C63" s="3"/>
      <c r="D63" s="51">
        <f>IFERROR(data!L97,"")</f>
        <v>0</v>
      </c>
    </row>
    <row r="64" spans="2:4" x14ac:dyDescent="0.35">
      <c r="B64" s="3"/>
      <c r="C64" s="3"/>
      <c r="D64" s="51">
        <f>IFERROR(data!L98,"")</f>
        <v>0</v>
      </c>
    </row>
    <row r="65" spans="1:4" x14ac:dyDescent="0.35">
      <c r="B65" s="3"/>
      <c r="C65" s="3"/>
      <c r="D65" s="51">
        <f>IFERROR(data!L99,"")</f>
        <v>0</v>
      </c>
    </row>
    <row r="66" spans="1:4" x14ac:dyDescent="0.35">
      <c r="B66" s="3"/>
      <c r="C66" s="3"/>
      <c r="D66" s="51">
        <f>IFERROR(data!L100,"")</f>
        <v>0</v>
      </c>
    </row>
    <row r="67" spans="1:4" x14ac:dyDescent="0.35">
      <c r="B67" s="3"/>
      <c r="D67" s="51">
        <f>IFERROR(data!L101,"")</f>
        <v>0</v>
      </c>
    </row>
    <row r="68" spans="1:4" x14ac:dyDescent="0.35">
      <c r="B68" s="3"/>
      <c r="D68" s="51">
        <f>IFERROR(data!L102,"")</f>
        <v>0</v>
      </c>
    </row>
    <row r="69" spans="1:4" x14ac:dyDescent="0.35">
      <c r="B69" s="3"/>
      <c r="D69" s="51">
        <f>IFERROR(data!L103,"")</f>
        <v>0</v>
      </c>
    </row>
    <row r="70" spans="1:4" x14ac:dyDescent="0.35">
      <c r="B70" s="3"/>
      <c r="D70" s="51">
        <f>IFERROR(data!L104,"")</f>
        <v>0</v>
      </c>
    </row>
    <row r="71" spans="1:4" x14ac:dyDescent="0.35">
      <c r="B71" s="3"/>
      <c r="D71" s="51">
        <f>IFERROR(data!L105,"")</f>
        <v>0</v>
      </c>
    </row>
    <row r="72" spans="1:4" x14ac:dyDescent="0.35">
      <c r="A72" s="3"/>
      <c r="B72" s="3"/>
      <c r="D72" s="51">
        <f>IFERROR(data!L106,"")</f>
        <v>0</v>
      </c>
    </row>
    <row r="73" spans="1:4" x14ac:dyDescent="0.35">
      <c r="A73" s="3"/>
      <c r="B73" s="3"/>
      <c r="D73" s="51">
        <f>IFERROR(data!L107,"")</f>
        <v>0</v>
      </c>
    </row>
    <row r="74" spans="1:4" x14ac:dyDescent="0.35">
      <c r="A74" s="3"/>
      <c r="B74" s="3"/>
      <c r="D74" s="51">
        <f>IFERROR(data!L108,"")</f>
        <v>0</v>
      </c>
    </row>
    <row r="75" spans="1:4" x14ac:dyDescent="0.35">
      <c r="A75" s="3"/>
      <c r="B75" s="3"/>
      <c r="D75" s="51">
        <f>IFERROR(data!L109,"")</f>
        <v>0</v>
      </c>
    </row>
    <row r="76" spans="1:4" x14ac:dyDescent="0.35">
      <c r="A76" s="3"/>
      <c r="B76" s="3"/>
      <c r="D76" s="51">
        <f>IFERROR(data!L110,"")</f>
        <v>0</v>
      </c>
    </row>
    <row r="77" spans="1:4" x14ac:dyDescent="0.35">
      <c r="A77" s="3"/>
      <c r="B77" s="3"/>
      <c r="D77" s="51">
        <f>IFERROR(data!L111,"")</f>
        <v>0</v>
      </c>
    </row>
    <row r="78" spans="1:4" x14ac:dyDescent="0.35">
      <c r="A78" s="3"/>
      <c r="B78" s="3"/>
      <c r="D78" s="51">
        <f>IFERROR(data!L112,"")</f>
        <v>0</v>
      </c>
    </row>
    <row r="79" spans="1:4" x14ac:dyDescent="0.35">
      <c r="A79" s="3"/>
      <c r="B79" s="3"/>
      <c r="D79" s="51">
        <f>IFERROR(data!L113,"")</f>
        <v>0</v>
      </c>
    </row>
    <row r="80" spans="1:4" x14ac:dyDescent="0.35">
      <c r="A80" s="3"/>
      <c r="B80" s="3"/>
      <c r="D80" s="51">
        <f>IFERROR(data!L114,"")</f>
        <v>0</v>
      </c>
    </row>
    <row r="81" spans="1:4" x14ac:dyDescent="0.35">
      <c r="A81" s="3"/>
      <c r="B81" s="3"/>
      <c r="D81" s="51">
        <f>IFERROR(data!L115,"")</f>
        <v>0</v>
      </c>
    </row>
    <row r="82" spans="1:4" x14ac:dyDescent="0.35">
      <c r="A82" s="3"/>
      <c r="B82" s="3"/>
      <c r="D82" s="51">
        <f>IFERROR(data!L116,"")</f>
        <v>0</v>
      </c>
    </row>
    <row r="83" spans="1:4" x14ac:dyDescent="0.35">
      <c r="A83" s="3"/>
      <c r="B83" s="3"/>
      <c r="D83" s="51">
        <f>IFERROR(data!L117,"")</f>
        <v>0</v>
      </c>
    </row>
    <row r="84" spans="1:4" x14ac:dyDescent="0.35">
      <c r="A84" s="3"/>
      <c r="B84" s="3"/>
      <c r="D84" s="51">
        <f>IFERROR(data!L118,"")</f>
        <v>0</v>
      </c>
    </row>
    <row r="85" spans="1:4" x14ac:dyDescent="0.35">
      <c r="A85" s="3"/>
      <c r="B85" s="3"/>
      <c r="D85" s="51">
        <f>IFERROR(data!L119,"")</f>
        <v>0</v>
      </c>
    </row>
    <row r="86" spans="1:4" x14ac:dyDescent="0.35">
      <c r="A86" s="3"/>
      <c r="B86" s="3"/>
      <c r="D86" s="51">
        <f>IFERROR(data!L120,"")</f>
        <v>0</v>
      </c>
    </row>
    <row r="87" spans="1:4" x14ac:dyDescent="0.35">
      <c r="A87" s="3"/>
      <c r="B87" s="3"/>
      <c r="D87" s="51">
        <f>IFERROR(data!L121,"")</f>
        <v>0</v>
      </c>
    </row>
    <row r="88" spans="1:4" x14ac:dyDescent="0.35">
      <c r="A88" s="3"/>
      <c r="B88" s="3"/>
      <c r="D88" s="51">
        <f>IFERROR(data!L122,"")</f>
        <v>0</v>
      </c>
    </row>
    <row r="89" spans="1:4" x14ac:dyDescent="0.35">
      <c r="A89" s="3"/>
      <c r="B89" s="3"/>
      <c r="D89" s="51">
        <f>IFERROR(data!L123,"")</f>
        <v>0</v>
      </c>
    </row>
    <row r="90" spans="1:4" x14ac:dyDescent="0.35">
      <c r="A90" s="3"/>
      <c r="B90" s="3"/>
      <c r="D90" s="51">
        <f>IFERROR(data!L124,"")</f>
        <v>0</v>
      </c>
    </row>
    <row r="91" spans="1:4" x14ac:dyDescent="0.35">
      <c r="A91" s="3"/>
      <c r="B91" s="3"/>
      <c r="D91" s="51">
        <f>IFERROR(data!L125,"")</f>
        <v>0</v>
      </c>
    </row>
    <row r="92" spans="1:4" x14ac:dyDescent="0.35">
      <c r="A92" s="3"/>
      <c r="B92" s="3"/>
      <c r="D92" s="51">
        <f>IFERROR(data!L126,"")</f>
        <v>0</v>
      </c>
    </row>
    <row r="93" spans="1:4" x14ac:dyDescent="0.35">
      <c r="A93" s="3"/>
      <c r="B93" s="3"/>
      <c r="D93" s="51">
        <f>IFERROR(data!L127,"")</f>
        <v>0</v>
      </c>
    </row>
    <row r="94" spans="1:4" x14ac:dyDescent="0.35">
      <c r="A94" s="3"/>
      <c r="B94" s="3"/>
      <c r="D94" s="51">
        <f>IFERROR(data!L128,"")</f>
        <v>0</v>
      </c>
    </row>
    <row r="95" spans="1:4" x14ac:dyDescent="0.35">
      <c r="A95" s="3"/>
      <c r="B95" s="3"/>
      <c r="D95" s="51">
        <f>IFERROR(data!L129,"")</f>
        <v>0</v>
      </c>
    </row>
    <row r="96" spans="1:4" x14ac:dyDescent="0.35">
      <c r="A96" s="3"/>
      <c r="B96" s="3"/>
      <c r="D96" s="51">
        <f>IFERROR(data!L130,"")</f>
        <v>0</v>
      </c>
    </row>
    <row r="97" spans="1:4" x14ac:dyDescent="0.35">
      <c r="A97" s="3"/>
      <c r="B97" s="3"/>
      <c r="D97" s="51">
        <f>IFERROR(data!L131,"")</f>
        <v>0</v>
      </c>
    </row>
    <row r="98" spans="1:4" x14ac:dyDescent="0.35">
      <c r="A98" s="3"/>
      <c r="B98" s="3"/>
      <c r="D98" s="51">
        <f>IFERROR(data!L132,"")</f>
        <v>0</v>
      </c>
    </row>
    <row r="99" spans="1:4" x14ac:dyDescent="0.35">
      <c r="A99" s="3"/>
      <c r="B99" s="3"/>
      <c r="D99" s="51">
        <f>IFERROR(data!L133,"")</f>
        <v>0</v>
      </c>
    </row>
    <row r="100" spans="1:4" x14ac:dyDescent="0.35">
      <c r="A100" s="3"/>
      <c r="B100" s="3"/>
      <c r="D100" s="51">
        <f>IFERROR(data!L134,"")</f>
        <v>0</v>
      </c>
    </row>
    <row r="101" spans="1:4" x14ac:dyDescent="0.35">
      <c r="A101" s="3"/>
      <c r="B101" s="3"/>
      <c r="D101" s="51">
        <f>IFERROR(data!L135,"")</f>
        <v>0</v>
      </c>
    </row>
    <row r="102" spans="1:4" x14ac:dyDescent="0.35">
      <c r="A102" s="3"/>
      <c r="B102" s="3"/>
      <c r="D102" s="51">
        <f>IFERROR(data!L136,"")</f>
        <v>0</v>
      </c>
    </row>
    <row r="103" spans="1:4" x14ac:dyDescent="0.35">
      <c r="A103" s="3"/>
      <c r="B103" s="3"/>
      <c r="D103" s="51"/>
    </row>
    <row r="104" spans="1:4" x14ac:dyDescent="0.35">
      <c r="A104" s="3"/>
      <c r="B104" s="3"/>
      <c r="D104" s="51"/>
    </row>
    <row r="105" spans="1:4" x14ac:dyDescent="0.35">
      <c r="A105" s="3"/>
      <c r="B105" s="3"/>
      <c r="D105" s="51"/>
    </row>
    <row r="106" spans="1:4" x14ac:dyDescent="0.35">
      <c r="A106" s="3"/>
      <c r="B106" s="3"/>
      <c r="D106" s="51"/>
    </row>
    <row r="107" spans="1:4" x14ac:dyDescent="0.35">
      <c r="A107" s="3"/>
      <c r="B107" s="3"/>
      <c r="D107" s="51"/>
    </row>
    <row r="108" spans="1:4" x14ac:dyDescent="0.35">
      <c r="A108" s="3"/>
      <c r="B108" s="3"/>
      <c r="D108" s="51"/>
    </row>
    <row r="109" spans="1:4" x14ac:dyDescent="0.35">
      <c r="A109" s="3"/>
      <c r="B109" s="3"/>
      <c r="D109" s="51"/>
    </row>
    <row r="110" spans="1:4" x14ac:dyDescent="0.35">
      <c r="A110" s="3"/>
      <c r="B110" s="3"/>
      <c r="D110" s="51"/>
    </row>
    <row r="111" spans="1:4" x14ac:dyDescent="0.35">
      <c r="A111" s="3"/>
      <c r="B111" s="3"/>
      <c r="D111" s="51"/>
    </row>
    <row r="112" spans="1:4" x14ac:dyDescent="0.35">
      <c r="A112" s="3"/>
      <c r="B112" s="3"/>
      <c r="D112" s="51"/>
    </row>
    <row r="113" spans="1:4" x14ac:dyDescent="0.35">
      <c r="A113" s="3"/>
      <c r="B113" s="3"/>
      <c r="D113" s="51"/>
    </row>
    <row r="114" spans="1:4" x14ac:dyDescent="0.35">
      <c r="A114" s="3"/>
      <c r="B114" s="3"/>
      <c r="D114" s="51"/>
    </row>
    <row r="115" spans="1:4" x14ac:dyDescent="0.35">
      <c r="A115" s="3"/>
      <c r="B115" s="3"/>
      <c r="D115" s="51"/>
    </row>
    <row r="116" spans="1:4" x14ac:dyDescent="0.35">
      <c r="A116" s="3"/>
      <c r="B116" s="3"/>
      <c r="D116" s="51"/>
    </row>
    <row r="117" spans="1:4" x14ac:dyDescent="0.35">
      <c r="A117" s="3"/>
      <c r="B117" s="3"/>
      <c r="D117" s="51"/>
    </row>
    <row r="118" spans="1:4" x14ac:dyDescent="0.35">
      <c r="A118" s="3"/>
      <c r="B118" s="3"/>
      <c r="D118" s="51"/>
    </row>
    <row r="119" spans="1:4" x14ac:dyDescent="0.35">
      <c r="A119" s="3"/>
      <c r="B119" s="3"/>
      <c r="D119" s="51"/>
    </row>
    <row r="120" spans="1:4" x14ac:dyDescent="0.35">
      <c r="A120" s="3"/>
      <c r="B120" s="3"/>
      <c r="D120" s="51"/>
    </row>
    <row r="121" spans="1:4" x14ac:dyDescent="0.35">
      <c r="A121" s="3"/>
      <c r="B121" s="3"/>
      <c r="D121" s="51"/>
    </row>
    <row r="122" spans="1:4" x14ac:dyDescent="0.35">
      <c r="A122" s="3"/>
      <c r="B122" s="3"/>
      <c r="D122" s="51"/>
    </row>
    <row r="123" spans="1:4" x14ac:dyDescent="0.35">
      <c r="A123" s="3"/>
      <c r="B123" s="3"/>
      <c r="D123" s="51"/>
    </row>
    <row r="124" spans="1:4" x14ac:dyDescent="0.35">
      <c r="A124" s="3"/>
      <c r="B124" s="3"/>
      <c r="D124" s="51"/>
    </row>
    <row r="125" spans="1:4" x14ac:dyDescent="0.35">
      <c r="A125" s="3"/>
      <c r="B125" s="3"/>
      <c r="D125" s="51"/>
    </row>
    <row r="126" spans="1:4" x14ac:dyDescent="0.35">
      <c r="A126" s="3"/>
      <c r="B126" s="3"/>
      <c r="D126" s="51"/>
    </row>
    <row r="127" spans="1:4" x14ac:dyDescent="0.35">
      <c r="A127" s="3"/>
      <c r="B127" s="3"/>
      <c r="D127" s="51"/>
    </row>
    <row r="128" spans="1:4" x14ac:dyDescent="0.35">
      <c r="A128" s="3"/>
      <c r="B128" s="3"/>
      <c r="D128" s="51"/>
    </row>
    <row r="129" spans="1:4" x14ac:dyDescent="0.35">
      <c r="A129" s="3"/>
      <c r="B129" s="3"/>
      <c r="D129" s="51"/>
    </row>
    <row r="130" spans="1:4" x14ac:dyDescent="0.35">
      <c r="A130" s="3"/>
      <c r="B130" s="3"/>
      <c r="D130" s="51"/>
    </row>
    <row r="131" spans="1:4" x14ac:dyDescent="0.35">
      <c r="A131" s="3"/>
      <c r="B131" s="3"/>
      <c r="D131" s="51"/>
    </row>
    <row r="132" spans="1:4" x14ac:dyDescent="0.35">
      <c r="A132" s="3"/>
      <c r="B132" s="3"/>
      <c r="D132" s="51"/>
    </row>
    <row r="133" spans="1:4" x14ac:dyDescent="0.35">
      <c r="A133" s="3"/>
      <c r="B133" s="3"/>
      <c r="D133" s="51"/>
    </row>
    <row r="134" spans="1:4" x14ac:dyDescent="0.35">
      <c r="A134" s="3"/>
      <c r="B134" s="3"/>
      <c r="D134" s="51"/>
    </row>
    <row r="135" spans="1:4" x14ac:dyDescent="0.35">
      <c r="A135" s="3"/>
      <c r="B135" s="3"/>
      <c r="D135" s="51"/>
    </row>
    <row r="136" spans="1:4" x14ac:dyDescent="0.35">
      <c r="A136" s="3"/>
      <c r="B136" s="3"/>
      <c r="D136" s="51"/>
    </row>
    <row r="137" spans="1:4" x14ac:dyDescent="0.35">
      <c r="A137" s="3"/>
      <c r="B137" s="3"/>
      <c r="D137" s="51"/>
    </row>
    <row r="138" spans="1:4" x14ac:dyDescent="0.35">
      <c r="A138" s="3"/>
      <c r="B138" s="3"/>
      <c r="D138" s="51"/>
    </row>
    <row r="139" spans="1:4" x14ac:dyDescent="0.35">
      <c r="A139" s="3"/>
      <c r="B139" s="3"/>
      <c r="D139" s="51"/>
    </row>
    <row r="140" spans="1:4" x14ac:dyDescent="0.35">
      <c r="A140" s="3"/>
      <c r="B140" s="3"/>
      <c r="D140" s="51"/>
    </row>
    <row r="141" spans="1:4" x14ac:dyDescent="0.35">
      <c r="A141" s="3"/>
      <c r="B141" s="3"/>
      <c r="D141" s="51"/>
    </row>
    <row r="142" spans="1:4" x14ac:dyDescent="0.35">
      <c r="A142" s="3"/>
      <c r="B142" s="3"/>
      <c r="D142" s="51"/>
    </row>
    <row r="143" spans="1:4" x14ac:dyDescent="0.35">
      <c r="A143" s="3"/>
      <c r="B143" s="3"/>
      <c r="D143" s="51"/>
    </row>
    <row r="144" spans="1:4" x14ac:dyDescent="0.35">
      <c r="A144" s="3"/>
      <c r="B144" s="3"/>
      <c r="D144" s="51"/>
    </row>
    <row r="145" spans="1:4" x14ac:dyDescent="0.35">
      <c r="A145" s="3"/>
      <c r="B145" s="3"/>
      <c r="D145" s="51"/>
    </row>
    <row r="146" spans="1:4" x14ac:dyDescent="0.35">
      <c r="A146" s="3"/>
      <c r="B146" s="3"/>
      <c r="D146" s="51"/>
    </row>
    <row r="147" spans="1:4" x14ac:dyDescent="0.35">
      <c r="A147" s="3"/>
      <c r="B147" s="3"/>
      <c r="D147" s="51"/>
    </row>
    <row r="148" spans="1:4" x14ac:dyDescent="0.35">
      <c r="A148" s="3"/>
      <c r="B148" s="3"/>
      <c r="D148" s="51"/>
    </row>
    <row r="149" spans="1:4" x14ac:dyDescent="0.35">
      <c r="A149" s="3"/>
      <c r="B149" s="3"/>
      <c r="D149" s="51"/>
    </row>
    <row r="150" spans="1:4" x14ac:dyDescent="0.35">
      <c r="A150" s="3"/>
      <c r="B150" s="3"/>
      <c r="D150" s="51"/>
    </row>
    <row r="151" spans="1:4" x14ac:dyDescent="0.35">
      <c r="A151" s="3"/>
      <c r="B151" s="3"/>
      <c r="D151" s="51"/>
    </row>
    <row r="152" spans="1:4" x14ac:dyDescent="0.35">
      <c r="A152" s="3"/>
      <c r="B152" s="3"/>
      <c r="D152" s="51"/>
    </row>
    <row r="153" spans="1:4" x14ac:dyDescent="0.35">
      <c r="A153" s="3"/>
      <c r="B153" s="3"/>
      <c r="D153" s="51"/>
    </row>
    <row r="154" spans="1:4" x14ac:dyDescent="0.35">
      <c r="A154" s="3"/>
      <c r="B154" s="3"/>
      <c r="D154" s="51"/>
    </row>
    <row r="155" spans="1:4" x14ac:dyDescent="0.35">
      <c r="A155" s="3"/>
      <c r="B155" s="3"/>
      <c r="D155" s="51"/>
    </row>
    <row r="156" spans="1:4" x14ac:dyDescent="0.35">
      <c r="A156" s="3"/>
      <c r="B156" s="3"/>
      <c r="D156" s="51"/>
    </row>
    <row r="157" spans="1:4" x14ac:dyDescent="0.35">
      <c r="A157" s="3"/>
      <c r="B157" s="3"/>
      <c r="D157" s="51"/>
    </row>
    <row r="158" spans="1:4" x14ac:dyDescent="0.35">
      <c r="A158" s="3"/>
      <c r="B158" s="3"/>
      <c r="D158" s="51"/>
    </row>
    <row r="159" spans="1:4" x14ac:dyDescent="0.35">
      <c r="A159" s="3"/>
      <c r="B159" s="3"/>
      <c r="D159" s="51"/>
    </row>
    <row r="160" spans="1:4" x14ac:dyDescent="0.35">
      <c r="A160" s="3"/>
      <c r="B160" s="3"/>
      <c r="D160" s="51"/>
    </row>
    <row r="161" spans="1:4" x14ac:dyDescent="0.35">
      <c r="A161" s="3"/>
      <c r="B161" s="3"/>
      <c r="D161" s="51"/>
    </row>
    <row r="162" spans="1:4" x14ac:dyDescent="0.35">
      <c r="A162" s="3"/>
      <c r="B162" s="3"/>
      <c r="D162" s="51"/>
    </row>
    <row r="163" spans="1:4" x14ac:dyDescent="0.35">
      <c r="A163" s="3"/>
      <c r="B163" s="3"/>
      <c r="D163" s="51"/>
    </row>
    <row r="164" spans="1:4" x14ac:dyDescent="0.35">
      <c r="A164" s="3"/>
      <c r="B164" s="3"/>
      <c r="D164" s="51"/>
    </row>
    <row r="165" spans="1:4" x14ac:dyDescent="0.35">
      <c r="A165" s="3"/>
      <c r="B165" s="3"/>
      <c r="D165" s="51"/>
    </row>
    <row r="166" spans="1:4" x14ac:dyDescent="0.35">
      <c r="A166" s="3"/>
      <c r="B166" s="3"/>
      <c r="D166" s="51"/>
    </row>
    <row r="167" spans="1:4" x14ac:dyDescent="0.35">
      <c r="A167" s="3"/>
      <c r="B167" s="3"/>
      <c r="D167" s="51"/>
    </row>
    <row r="168" spans="1:4" x14ac:dyDescent="0.35">
      <c r="A168" s="3"/>
      <c r="B168" s="3"/>
      <c r="D168" s="51"/>
    </row>
    <row r="169" spans="1:4" x14ac:dyDescent="0.35">
      <c r="A169" s="3"/>
      <c r="B169" s="3"/>
      <c r="D169" s="51"/>
    </row>
    <row r="170" spans="1:4" x14ac:dyDescent="0.35">
      <c r="A170" s="3"/>
      <c r="B170" s="3"/>
      <c r="D170" s="51"/>
    </row>
    <row r="171" spans="1:4" x14ac:dyDescent="0.35">
      <c r="A171" s="3"/>
      <c r="B171" s="3"/>
      <c r="D171" s="51"/>
    </row>
    <row r="172" spans="1:4" x14ac:dyDescent="0.35">
      <c r="A172" s="3"/>
      <c r="B172" s="3"/>
      <c r="D172" s="51"/>
    </row>
    <row r="173" spans="1:4" x14ac:dyDescent="0.35">
      <c r="A173" s="3"/>
      <c r="B173" s="3"/>
      <c r="D173" s="51"/>
    </row>
    <row r="174" spans="1:4" x14ac:dyDescent="0.35">
      <c r="A174" s="3"/>
      <c r="B174" s="3"/>
      <c r="D174" s="51"/>
    </row>
    <row r="175" spans="1:4" x14ac:dyDescent="0.35">
      <c r="A175" s="3"/>
      <c r="B175" s="3"/>
      <c r="D175" s="51"/>
    </row>
    <row r="176" spans="1:4" x14ac:dyDescent="0.35">
      <c r="A176" s="3"/>
      <c r="B176" s="3"/>
      <c r="D176" s="51"/>
    </row>
    <row r="177" spans="1:4" x14ac:dyDescent="0.35">
      <c r="A177" s="3"/>
      <c r="B177" s="3"/>
      <c r="D177" s="51"/>
    </row>
    <row r="178" spans="1:4" x14ac:dyDescent="0.35">
      <c r="A178" s="3"/>
      <c r="B178" s="3"/>
      <c r="D178" s="51"/>
    </row>
    <row r="179" spans="1:4" x14ac:dyDescent="0.35">
      <c r="A179" s="3"/>
      <c r="B179" s="3"/>
      <c r="D179" s="51"/>
    </row>
    <row r="180" spans="1:4" x14ac:dyDescent="0.35">
      <c r="A180" s="3"/>
      <c r="B180" s="3"/>
      <c r="D180" s="51"/>
    </row>
    <row r="181" spans="1:4" x14ac:dyDescent="0.35">
      <c r="A181" s="3"/>
      <c r="B181" s="3"/>
      <c r="D181" s="51"/>
    </row>
    <row r="182" spans="1:4" x14ac:dyDescent="0.35">
      <c r="A182" s="3"/>
      <c r="B182" s="3"/>
      <c r="D182" s="51"/>
    </row>
    <row r="183" spans="1:4" x14ac:dyDescent="0.35">
      <c r="A183" s="3"/>
      <c r="B183" s="3"/>
      <c r="D183" s="51"/>
    </row>
    <row r="184" spans="1:4" x14ac:dyDescent="0.35">
      <c r="A184" s="3"/>
      <c r="B184" s="3"/>
      <c r="D184" s="51"/>
    </row>
    <row r="185" spans="1:4" x14ac:dyDescent="0.35">
      <c r="A185" s="3"/>
      <c r="B185" s="3"/>
      <c r="D185" s="51"/>
    </row>
    <row r="186" spans="1:4" x14ac:dyDescent="0.35">
      <c r="A186" s="3"/>
      <c r="B186" s="3"/>
      <c r="D186" s="51"/>
    </row>
    <row r="187" spans="1:4" x14ac:dyDescent="0.35">
      <c r="A187" s="3"/>
      <c r="B187" s="3"/>
      <c r="D187" s="51"/>
    </row>
    <row r="188" spans="1:4" x14ac:dyDescent="0.35">
      <c r="A188" s="3"/>
      <c r="B188" s="3"/>
      <c r="D188" s="51"/>
    </row>
    <row r="189" spans="1:4" x14ac:dyDescent="0.35">
      <c r="A189" s="3"/>
      <c r="B189" s="3"/>
      <c r="D189" s="51"/>
    </row>
    <row r="190" spans="1:4" x14ac:dyDescent="0.35">
      <c r="A190" s="3"/>
      <c r="B190" s="3"/>
      <c r="D190" s="51"/>
    </row>
    <row r="191" spans="1:4" x14ac:dyDescent="0.35">
      <c r="A191" s="3"/>
      <c r="B191" s="3"/>
      <c r="D191" s="51"/>
    </row>
    <row r="192" spans="1:4" x14ac:dyDescent="0.35">
      <c r="A192" s="3"/>
      <c r="B192" s="3"/>
      <c r="D192" s="51"/>
    </row>
    <row r="193" spans="1:4" x14ac:dyDescent="0.35">
      <c r="A193" s="3"/>
      <c r="B193" s="3"/>
      <c r="D193" s="51"/>
    </row>
    <row r="194" spans="1:4" x14ac:dyDescent="0.35">
      <c r="A194" s="3"/>
      <c r="B194" s="3"/>
      <c r="D194" s="51"/>
    </row>
    <row r="195" spans="1:4" x14ac:dyDescent="0.35">
      <c r="A195" s="3"/>
      <c r="B195" s="3"/>
      <c r="D195" s="51"/>
    </row>
    <row r="196" spans="1:4" x14ac:dyDescent="0.35">
      <c r="A196" s="3"/>
      <c r="B196" s="3"/>
      <c r="D196" s="51"/>
    </row>
    <row r="197" spans="1:4" x14ac:dyDescent="0.35">
      <c r="A197" s="3"/>
      <c r="B197" s="3"/>
      <c r="D197" s="51"/>
    </row>
    <row r="198" spans="1:4" x14ac:dyDescent="0.35">
      <c r="A198" s="3"/>
      <c r="B198" s="3"/>
      <c r="D198" s="51"/>
    </row>
    <row r="199" spans="1:4" x14ac:dyDescent="0.35">
      <c r="A199" s="3"/>
      <c r="B199" s="3"/>
      <c r="D199" s="51"/>
    </row>
    <row r="200" spans="1:4" x14ac:dyDescent="0.35">
      <c r="A200" s="3"/>
      <c r="B200" s="3"/>
      <c r="D200" s="51"/>
    </row>
    <row r="201" spans="1:4" x14ac:dyDescent="0.35">
      <c r="A201" s="3"/>
      <c r="B201" s="3"/>
      <c r="D201" s="51"/>
    </row>
    <row r="202" spans="1:4" x14ac:dyDescent="0.35">
      <c r="A202" s="3"/>
      <c r="B202" s="3"/>
      <c r="D202" s="51"/>
    </row>
    <row r="203" spans="1:4" x14ac:dyDescent="0.35">
      <c r="A203" s="3"/>
      <c r="B203" s="3"/>
      <c r="D203" s="51"/>
    </row>
    <row r="204" spans="1:4" x14ac:dyDescent="0.35">
      <c r="A204" s="3"/>
      <c r="B204" s="3"/>
      <c r="D204" s="51"/>
    </row>
    <row r="205" spans="1:4" x14ac:dyDescent="0.35">
      <c r="A205" s="3"/>
      <c r="B205" s="3"/>
      <c r="D205" s="51"/>
    </row>
    <row r="206" spans="1:4" x14ac:dyDescent="0.35">
      <c r="A206" s="3"/>
      <c r="B206" s="3"/>
      <c r="D206" s="51"/>
    </row>
    <row r="207" spans="1:4" x14ac:dyDescent="0.35">
      <c r="A207" s="3"/>
      <c r="B207" s="3"/>
      <c r="D207" s="51"/>
    </row>
    <row r="208" spans="1:4" x14ac:dyDescent="0.35">
      <c r="A208" s="3"/>
      <c r="B208" s="3"/>
      <c r="D208" s="51"/>
    </row>
    <row r="209" spans="1:4" x14ac:dyDescent="0.35">
      <c r="A209" s="3"/>
      <c r="B209" s="3"/>
      <c r="D209" s="51"/>
    </row>
    <row r="210" spans="1:4" x14ac:dyDescent="0.35">
      <c r="A210" s="3"/>
      <c r="B210" s="3"/>
      <c r="D210" s="51"/>
    </row>
    <row r="211" spans="1:4" x14ac:dyDescent="0.35">
      <c r="A211" s="3"/>
      <c r="B211" s="3"/>
      <c r="D211" s="51"/>
    </row>
    <row r="212" spans="1:4" x14ac:dyDescent="0.35">
      <c r="A212" s="3"/>
      <c r="B212" s="3"/>
      <c r="D212" s="51"/>
    </row>
    <row r="213" spans="1:4" x14ac:dyDescent="0.35">
      <c r="A213" s="3"/>
      <c r="B213" s="3"/>
      <c r="D213" s="51"/>
    </row>
    <row r="214" spans="1:4" x14ac:dyDescent="0.35">
      <c r="A214" s="3"/>
      <c r="B214" s="3"/>
      <c r="D214" s="51"/>
    </row>
    <row r="215" spans="1:4" x14ac:dyDescent="0.35">
      <c r="A215" s="3"/>
      <c r="B215" s="3"/>
      <c r="D215" s="51"/>
    </row>
    <row r="216" spans="1:4" x14ac:dyDescent="0.35">
      <c r="A216" s="3"/>
      <c r="B216" s="3"/>
      <c r="D216" s="51"/>
    </row>
    <row r="217" spans="1:4" x14ac:dyDescent="0.35">
      <c r="A217" s="3"/>
      <c r="B217" s="3"/>
      <c r="D217" s="51"/>
    </row>
    <row r="218" spans="1:4" x14ac:dyDescent="0.35">
      <c r="A218" s="3"/>
      <c r="B218" s="3"/>
      <c r="D218" s="51"/>
    </row>
    <row r="219" spans="1:4" x14ac:dyDescent="0.35">
      <c r="A219" s="3"/>
      <c r="B219" s="3"/>
      <c r="D219" s="51"/>
    </row>
    <row r="220" spans="1:4" x14ac:dyDescent="0.35">
      <c r="A220" s="3"/>
      <c r="B220" s="3"/>
      <c r="D220" s="51"/>
    </row>
    <row r="221" spans="1:4" x14ac:dyDescent="0.35">
      <c r="A221" s="3"/>
      <c r="B221" s="3"/>
      <c r="D221" s="51"/>
    </row>
    <row r="222" spans="1:4" x14ac:dyDescent="0.35">
      <c r="A222" s="3"/>
      <c r="B222" s="3"/>
      <c r="D222" s="51"/>
    </row>
    <row r="223" spans="1:4" x14ac:dyDescent="0.35">
      <c r="A223" s="3"/>
      <c r="B223" s="3"/>
      <c r="D223" s="51"/>
    </row>
    <row r="224" spans="1:4" x14ac:dyDescent="0.35">
      <c r="A224" s="3"/>
      <c r="B224" s="3"/>
      <c r="D224" s="51"/>
    </row>
    <row r="225" spans="1:4" x14ac:dyDescent="0.35">
      <c r="A225" s="3"/>
      <c r="B225" s="3"/>
      <c r="D225" s="51"/>
    </row>
    <row r="226" spans="1:4" x14ac:dyDescent="0.35">
      <c r="A226" s="3"/>
      <c r="B226" s="3"/>
      <c r="D226" s="51"/>
    </row>
    <row r="227" spans="1:4" x14ac:dyDescent="0.35">
      <c r="A227" s="3"/>
      <c r="B227" s="3"/>
      <c r="D227" s="51"/>
    </row>
    <row r="228" spans="1:4" x14ac:dyDescent="0.35">
      <c r="A228" s="3"/>
      <c r="B228" s="3"/>
      <c r="D228" s="51"/>
    </row>
    <row r="229" spans="1:4" x14ac:dyDescent="0.35">
      <c r="A229" s="3"/>
      <c r="B229" s="3"/>
      <c r="D229" s="51"/>
    </row>
    <row r="230" spans="1:4" x14ac:dyDescent="0.35">
      <c r="A230" s="3"/>
      <c r="B230" s="3"/>
      <c r="D230" s="51"/>
    </row>
    <row r="231" spans="1:4" x14ac:dyDescent="0.35">
      <c r="A231" s="3"/>
      <c r="B231" s="3"/>
      <c r="D231" s="51"/>
    </row>
    <row r="232" spans="1:4" x14ac:dyDescent="0.35">
      <c r="A232" s="3"/>
      <c r="B232" s="3"/>
      <c r="D232" s="51"/>
    </row>
    <row r="233" spans="1:4" x14ac:dyDescent="0.35">
      <c r="A233" s="3"/>
      <c r="B233" s="3"/>
      <c r="D233" s="51"/>
    </row>
    <row r="234" spans="1:4" x14ac:dyDescent="0.35">
      <c r="A234" s="3"/>
      <c r="B234" s="3"/>
      <c r="D234" s="51"/>
    </row>
    <row r="235" spans="1:4" x14ac:dyDescent="0.35">
      <c r="A235" s="3"/>
      <c r="B235" s="3"/>
      <c r="D235" s="51"/>
    </row>
    <row r="236" spans="1:4" x14ac:dyDescent="0.35">
      <c r="A236" s="3"/>
      <c r="B236" s="3"/>
      <c r="D236" s="51"/>
    </row>
    <row r="237" spans="1:4" x14ac:dyDescent="0.35">
      <c r="A237" s="3"/>
      <c r="B237" s="3"/>
      <c r="D237" s="51"/>
    </row>
    <row r="238" spans="1:4" x14ac:dyDescent="0.35">
      <c r="A238" s="3"/>
      <c r="B238" s="3"/>
      <c r="D238" s="51"/>
    </row>
    <row r="239" spans="1:4" x14ac:dyDescent="0.35">
      <c r="A239" s="3"/>
      <c r="B239" s="3"/>
      <c r="D239" s="51"/>
    </row>
    <row r="240" spans="1:4" x14ac:dyDescent="0.35">
      <c r="A240" s="3"/>
      <c r="B240" s="3"/>
      <c r="D240" s="51"/>
    </row>
    <row r="241" spans="1:4" x14ac:dyDescent="0.35">
      <c r="A241" s="3"/>
      <c r="B241" s="3"/>
      <c r="D241" s="51"/>
    </row>
    <row r="242" spans="1:4" x14ac:dyDescent="0.35">
      <c r="A242" s="3"/>
      <c r="B242" s="3"/>
      <c r="D242" s="51"/>
    </row>
    <row r="243" spans="1:4" x14ac:dyDescent="0.35">
      <c r="A243" s="3"/>
      <c r="B243" s="3"/>
      <c r="D243" s="51"/>
    </row>
    <row r="244" spans="1:4" x14ac:dyDescent="0.35">
      <c r="A244" s="3"/>
      <c r="B244" s="3"/>
      <c r="D244" s="51"/>
    </row>
    <row r="245" spans="1:4" x14ac:dyDescent="0.35">
      <c r="A245" s="3"/>
      <c r="B245" s="3"/>
      <c r="D245" s="51"/>
    </row>
    <row r="246" spans="1:4" x14ac:dyDescent="0.35">
      <c r="A246" s="3"/>
      <c r="B246" s="3"/>
      <c r="D246" s="51"/>
    </row>
    <row r="247" spans="1:4" x14ac:dyDescent="0.35">
      <c r="A247" s="3"/>
      <c r="B247" s="3"/>
      <c r="D247" s="51"/>
    </row>
    <row r="248" spans="1:4" x14ac:dyDescent="0.35">
      <c r="A248" s="3"/>
      <c r="B248" s="3"/>
      <c r="D248" s="51"/>
    </row>
    <row r="249" spans="1:4" x14ac:dyDescent="0.35">
      <c r="A249" s="3"/>
      <c r="B249" s="3"/>
      <c r="D249" s="51"/>
    </row>
    <row r="250" spans="1:4" x14ac:dyDescent="0.35">
      <c r="A250" s="3"/>
      <c r="B250" s="3"/>
      <c r="D250" s="51"/>
    </row>
    <row r="251" spans="1:4" x14ac:dyDescent="0.35">
      <c r="A251" s="3"/>
      <c r="B251" s="3"/>
      <c r="D251" s="51"/>
    </row>
    <row r="252" spans="1:4" x14ac:dyDescent="0.35">
      <c r="A252" s="3"/>
      <c r="B252" s="3"/>
      <c r="D252" s="51"/>
    </row>
    <row r="253" spans="1:4" x14ac:dyDescent="0.35">
      <c r="A253" s="3"/>
      <c r="B253" s="3"/>
      <c r="D253" s="51"/>
    </row>
    <row r="254" spans="1:4" x14ac:dyDescent="0.35">
      <c r="A254" s="3"/>
      <c r="B254" s="3"/>
      <c r="D254" s="51"/>
    </row>
    <row r="255" spans="1:4" x14ac:dyDescent="0.35">
      <c r="A255" s="3"/>
      <c r="B255" s="3"/>
      <c r="D255" s="51"/>
    </row>
    <row r="256" spans="1:4" x14ac:dyDescent="0.35">
      <c r="A256" s="3"/>
      <c r="B256" s="3"/>
      <c r="D256" s="51"/>
    </row>
    <row r="257" spans="1:4" x14ac:dyDescent="0.35">
      <c r="A257" s="3"/>
      <c r="B257" s="3"/>
      <c r="D257" s="51"/>
    </row>
    <row r="258" spans="1:4" x14ac:dyDescent="0.35">
      <c r="A258" s="3"/>
      <c r="B258" s="3"/>
      <c r="D258" s="51"/>
    </row>
    <row r="259" spans="1:4" x14ac:dyDescent="0.35">
      <c r="A259" s="3"/>
      <c r="B259" s="3"/>
      <c r="D259" s="51"/>
    </row>
    <row r="260" spans="1:4" x14ac:dyDescent="0.35">
      <c r="A260" s="3"/>
      <c r="B260" s="3"/>
      <c r="D260" s="51"/>
    </row>
    <row r="261" spans="1:4" x14ac:dyDescent="0.35">
      <c r="A261" s="3"/>
      <c r="B261" s="3"/>
      <c r="D261" s="51"/>
    </row>
    <row r="262" spans="1:4" x14ac:dyDescent="0.35">
      <c r="A262" s="3"/>
      <c r="B262" s="3"/>
      <c r="D262" s="51"/>
    </row>
    <row r="263" spans="1:4" x14ac:dyDescent="0.35">
      <c r="A263" s="3"/>
      <c r="B263" s="3"/>
      <c r="D263" s="51"/>
    </row>
    <row r="264" spans="1:4" x14ac:dyDescent="0.35">
      <c r="A264" s="3"/>
      <c r="B264" s="3"/>
      <c r="D264" s="51"/>
    </row>
    <row r="265" spans="1:4" x14ac:dyDescent="0.35">
      <c r="A265" s="3"/>
      <c r="B265" s="3"/>
      <c r="D265" s="51"/>
    </row>
    <row r="266" spans="1:4" x14ac:dyDescent="0.35">
      <c r="A266" s="3"/>
      <c r="B266" s="3"/>
      <c r="D266" s="51"/>
    </row>
    <row r="267" spans="1:4" x14ac:dyDescent="0.35">
      <c r="A267" s="3"/>
      <c r="B267" s="3"/>
      <c r="D267" s="51"/>
    </row>
    <row r="268" spans="1:4" x14ac:dyDescent="0.35">
      <c r="A268" s="3"/>
      <c r="B268" s="3"/>
      <c r="D268" s="51"/>
    </row>
    <row r="269" spans="1:4" x14ac:dyDescent="0.35">
      <c r="A269" s="3"/>
      <c r="B269" s="3"/>
      <c r="D269" s="51"/>
    </row>
    <row r="270" spans="1:4" x14ac:dyDescent="0.35">
      <c r="A270" s="3"/>
      <c r="B270" s="3"/>
      <c r="D270" s="51"/>
    </row>
    <row r="271" spans="1:4" x14ac:dyDescent="0.35">
      <c r="A271" s="3"/>
      <c r="B271" s="3"/>
      <c r="D271" s="51"/>
    </row>
    <row r="272" spans="1:4" x14ac:dyDescent="0.35">
      <c r="A272" s="3"/>
      <c r="B272" s="3"/>
      <c r="D272" s="51"/>
    </row>
    <row r="273" spans="1:4" x14ac:dyDescent="0.35">
      <c r="A273" s="3"/>
      <c r="B273" s="3"/>
      <c r="D273" s="51"/>
    </row>
    <row r="274" spans="1:4" x14ac:dyDescent="0.35">
      <c r="A274" s="3"/>
      <c r="B274" s="3"/>
      <c r="D274" s="51"/>
    </row>
    <row r="275" spans="1:4" x14ac:dyDescent="0.35">
      <c r="A275" s="3"/>
      <c r="B275" s="3"/>
      <c r="D275" s="51"/>
    </row>
    <row r="276" spans="1:4" x14ac:dyDescent="0.35">
      <c r="A276" s="3"/>
      <c r="B276" s="3"/>
      <c r="D276" s="51"/>
    </row>
    <row r="277" spans="1:4" x14ac:dyDescent="0.35">
      <c r="A277" s="3"/>
      <c r="B277" s="3"/>
      <c r="D277" s="51"/>
    </row>
    <row r="278" spans="1:4" x14ac:dyDescent="0.35">
      <c r="A278" s="3"/>
      <c r="B278" s="3"/>
      <c r="D278" s="51"/>
    </row>
    <row r="279" spans="1:4" x14ac:dyDescent="0.35">
      <c r="A279" s="3"/>
      <c r="B279" s="3"/>
      <c r="D279" s="51"/>
    </row>
    <row r="280" spans="1:4" x14ac:dyDescent="0.35">
      <c r="A280" s="3"/>
      <c r="B280" s="3"/>
      <c r="D280" s="51"/>
    </row>
    <row r="281" spans="1:4" x14ac:dyDescent="0.35">
      <c r="A281" s="3"/>
      <c r="B281" s="3"/>
      <c r="D281" s="51"/>
    </row>
    <row r="282" spans="1:4" x14ac:dyDescent="0.35">
      <c r="A282" s="3"/>
      <c r="B282" s="3"/>
      <c r="D282" s="51"/>
    </row>
    <row r="283" spans="1:4" x14ac:dyDescent="0.35">
      <c r="A283" s="3"/>
      <c r="B283" s="3"/>
      <c r="D283" s="51"/>
    </row>
    <row r="284" spans="1:4" x14ac:dyDescent="0.35">
      <c r="A284" s="3"/>
      <c r="B284" s="3"/>
      <c r="D284" s="51"/>
    </row>
    <row r="285" spans="1:4" x14ac:dyDescent="0.35">
      <c r="A285" s="3"/>
      <c r="B285" s="3"/>
      <c r="D285" s="51"/>
    </row>
    <row r="286" spans="1:4" x14ac:dyDescent="0.35">
      <c r="A286" s="3"/>
      <c r="B286" s="3"/>
      <c r="D286" s="51"/>
    </row>
    <row r="287" spans="1:4" x14ac:dyDescent="0.35">
      <c r="A287" s="3"/>
      <c r="B287" s="3"/>
      <c r="D287" s="51"/>
    </row>
    <row r="288" spans="1:4" x14ac:dyDescent="0.35">
      <c r="A288" s="3"/>
      <c r="B288" s="3"/>
      <c r="D288" s="51"/>
    </row>
    <row r="289" spans="1:4" x14ac:dyDescent="0.35">
      <c r="A289" s="3"/>
      <c r="B289" s="3"/>
      <c r="D289" s="51"/>
    </row>
    <row r="290" spans="1:4" x14ac:dyDescent="0.35">
      <c r="A290" s="3"/>
      <c r="B290" s="3"/>
      <c r="D290" s="51"/>
    </row>
    <row r="291" spans="1:4" x14ac:dyDescent="0.35">
      <c r="A291" s="3"/>
      <c r="B291" s="3"/>
      <c r="D291" s="51"/>
    </row>
    <row r="292" spans="1:4" x14ac:dyDescent="0.35">
      <c r="A292" s="3"/>
      <c r="B292" s="3"/>
      <c r="D292" s="51"/>
    </row>
    <row r="293" spans="1:4" x14ac:dyDescent="0.35">
      <c r="A293" s="3"/>
      <c r="B293" s="3"/>
      <c r="D293" s="51"/>
    </row>
    <row r="294" spans="1:4" x14ac:dyDescent="0.35">
      <c r="A294" s="3"/>
      <c r="B294" s="3"/>
      <c r="D294" s="51"/>
    </row>
    <row r="295" spans="1:4" x14ac:dyDescent="0.35">
      <c r="A295" s="3"/>
      <c r="B295" s="3"/>
      <c r="D295" s="51"/>
    </row>
    <row r="296" spans="1:4" x14ac:dyDescent="0.35">
      <c r="A296" s="3"/>
      <c r="B296" s="3"/>
      <c r="D296" s="51"/>
    </row>
    <row r="297" spans="1:4" x14ac:dyDescent="0.35">
      <c r="A297" s="3"/>
      <c r="B297" s="3"/>
      <c r="D297" s="51"/>
    </row>
    <row r="298" spans="1:4" x14ac:dyDescent="0.35">
      <c r="A298" s="3"/>
      <c r="B298" s="3"/>
      <c r="D298" s="51"/>
    </row>
    <row r="299" spans="1:4" x14ac:dyDescent="0.35">
      <c r="A299" s="3"/>
      <c r="B299" s="3"/>
      <c r="D299" s="51"/>
    </row>
    <row r="300" spans="1:4" x14ac:dyDescent="0.35">
      <c r="A300" s="3"/>
      <c r="B300" s="3"/>
      <c r="D300" s="51"/>
    </row>
    <row r="301" spans="1:4" x14ac:dyDescent="0.35">
      <c r="A301" s="3"/>
      <c r="B301" s="3"/>
      <c r="D301" s="51"/>
    </row>
    <row r="302" spans="1:4" x14ac:dyDescent="0.35">
      <c r="A302" s="3"/>
      <c r="B302" s="3"/>
      <c r="D302" s="51"/>
    </row>
    <row r="303" spans="1:4" x14ac:dyDescent="0.35">
      <c r="A303" s="3"/>
      <c r="B303" s="3"/>
      <c r="D303" s="51"/>
    </row>
    <row r="304" spans="1:4" x14ac:dyDescent="0.35">
      <c r="A304" s="3"/>
      <c r="B304" s="3"/>
      <c r="D304" s="51"/>
    </row>
    <row r="305" spans="1:4" x14ac:dyDescent="0.35">
      <c r="A305" s="3"/>
      <c r="B305" s="3"/>
      <c r="D305" s="51"/>
    </row>
    <row r="306" spans="1:4" x14ac:dyDescent="0.35">
      <c r="A306" s="3"/>
      <c r="B306" s="3"/>
      <c r="D306" s="51"/>
    </row>
    <row r="307" spans="1:4" x14ac:dyDescent="0.35">
      <c r="A307" s="3"/>
      <c r="B307" s="3"/>
      <c r="D307" s="51"/>
    </row>
    <row r="308" spans="1:4" x14ac:dyDescent="0.35">
      <c r="A308" s="3"/>
      <c r="B308" s="3"/>
      <c r="D308" s="51"/>
    </row>
    <row r="309" spans="1:4" x14ac:dyDescent="0.35">
      <c r="A309" s="3"/>
      <c r="B309" s="3"/>
      <c r="D309" s="51"/>
    </row>
    <row r="310" spans="1:4" x14ac:dyDescent="0.35">
      <c r="A310" s="3"/>
      <c r="B310" s="3"/>
      <c r="D310" s="51"/>
    </row>
    <row r="311" spans="1:4" x14ac:dyDescent="0.35">
      <c r="A311" s="3"/>
      <c r="B311" s="3"/>
      <c r="D311" s="51"/>
    </row>
    <row r="312" spans="1:4" x14ac:dyDescent="0.35">
      <c r="A312" s="3"/>
      <c r="B312" s="3"/>
      <c r="D312" s="51"/>
    </row>
    <row r="313" spans="1:4" x14ac:dyDescent="0.35">
      <c r="A313" s="3"/>
      <c r="B313" s="3"/>
      <c r="D313" s="51"/>
    </row>
    <row r="314" spans="1:4" x14ac:dyDescent="0.35">
      <c r="A314" s="3"/>
      <c r="B314" s="3"/>
      <c r="D314" s="51"/>
    </row>
    <row r="315" spans="1:4" x14ac:dyDescent="0.35">
      <c r="A315" s="3"/>
      <c r="B315" s="3"/>
      <c r="D315" s="51"/>
    </row>
    <row r="316" spans="1:4" x14ac:dyDescent="0.35">
      <c r="A316" s="3"/>
      <c r="B316" s="3"/>
      <c r="D316" s="51"/>
    </row>
    <row r="317" spans="1:4" x14ac:dyDescent="0.35">
      <c r="A317" s="3"/>
      <c r="B317" s="3"/>
      <c r="D317" s="51"/>
    </row>
    <row r="318" spans="1:4" x14ac:dyDescent="0.35">
      <c r="A318" s="3"/>
      <c r="B318" s="3"/>
      <c r="D318" s="51"/>
    </row>
    <row r="319" spans="1:4" x14ac:dyDescent="0.35">
      <c r="A319" s="3"/>
      <c r="B319" s="3"/>
      <c r="D319" s="51"/>
    </row>
    <row r="320" spans="1:4" x14ac:dyDescent="0.35">
      <c r="A320" s="3"/>
      <c r="B320" s="3"/>
      <c r="D320" s="51"/>
    </row>
    <row r="321" spans="1:4" x14ac:dyDescent="0.35">
      <c r="A321" s="3"/>
      <c r="D321" s="51"/>
    </row>
    <row r="322" spans="1:4" x14ac:dyDescent="0.35">
      <c r="A322" s="3"/>
      <c r="D322" s="51"/>
    </row>
    <row r="323" spans="1:4" x14ac:dyDescent="0.35">
      <c r="A323" s="3"/>
      <c r="D323" s="51"/>
    </row>
    <row r="324" spans="1:4" x14ac:dyDescent="0.35">
      <c r="A324" s="3"/>
      <c r="D324" s="51"/>
    </row>
    <row r="325" spans="1:4" x14ac:dyDescent="0.35">
      <c r="A325" s="3"/>
      <c r="D325" s="51"/>
    </row>
    <row r="326" spans="1:4" x14ac:dyDescent="0.35">
      <c r="A326" s="3"/>
      <c r="D326" s="51"/>
    </row>
    <row r="327" spans="1:4" x14ac:dyDescent="0.35">
      <c r="A327" s="3"/>
      <c r="D327" s="51"/>
    </row>
    <row r="328" spans="1:4" x14ac:dyDescent="0.35">
      <c r="A328" s="3"/>
      <c r="D328" s="51"/>
    </row>
    <row r="329" spans="1:4" x14ac:dyDescent="0.35">
      <c r="A329" s="3"/>
      <c r="D329" s="51"/>
    </row>
    <row r="330" spans="1:4" x14ac:dyDescent="0.35">
      <c r="A330" s="3"/>
      <c r="D330" s="51"/>
    </row>
    <row r="331" spans="1:4" x14ac:dyDescent="0.35">
      <c r="A331" s="3"/>
      <c r="D331" s="51"/>
    </row>
    <row r="332" spans="1:4" x14ac:dyDescent="0.35">
      <c r="A332" s="3"/>
      <c r="D332" s="51"/>
    </row>
    <row r="333" spans="1:4" x14ac:dyDescent="0.35">
      <c r="A333" s="3"/>
      <c r="D333" s="51"/>
    </row>
    <row r="334" spans="1:4" x14ac:dyDescent="0.35">
      <c r="A334" s="3"/>
      <c r="D334" s="51"/>
    </row>
    <row r="335" spans="1:4" x14ac:dyDescent="0.35">
      <c r="A335" s="3"/>
      <c r="D335" s="51"/>
    </row>
    <row r="336" spans="1:4" x14ac:dyDescent="0.35">
      <c r="A336" s="3"/>
      <c r="D336" s="51"/>
    </row>
    <row r="337" spans="1:4" x14ac:dyDescent="0.35">
      <c r="A337" s="3"/>
      <c r="D337" s="51"/>
    </row>
    <row r="338" spans="1:4" x14ac:dyDescent="0.35">
      <c r="A338" s="3"/>
      <c r="D338" s="51"/>
    </row>
    <row r="339" spans="1:4" x14ac:dyDescent="0.35">
      <c r="A339" s="3"/>
      <c r="D339" s="51"/>
    </row>
    <row r="340" spans="1:4" x14ac:dyDescent="0.35">
      <c r="A340" s="3"/>
      <c r="D340" s="51"/>
    </row>
    <row r="341" spans="1:4" x14ac:dyDescent="0.35">
      <c r="A341" s="3"/>
      <c r="D341" s="51"/>
    </row>
    <row r="342" spans="1:4" x14ac:dyDescent="0.35">
      <c r="A342" s="3"/>
      <c r="D342" s="51"/>
    </row>
    <row r="343" spans="1:4" x14ac:dyDescent="0.35">
      <c r="A343" s="3"/>
      <c r="D343" s="51"/>
    </row>
    <row r="344" spans="1:4" x14ac:dyDescent="0.35">
      <c r="A344" s="3"/>
      <c r="D344" s="51"/>
    </row>
    <row r="345" spans="1:4" x14ac:dyDescent="0.35">
      <c r="A345" s="3"/>
      <c r="D345" s="51"/>
    </row>
    <row r="346" spans="1:4" x14ac:dyDescent="0.35">
      <c r="A346" s="3"/>
      <c r="D346" s="51"/>
    </row>
    <row r="347" spans="1:4" x14ac:dyDescent="0.35">
      <c r="A347" s="3"/>
      <c r="D347" s="51"/>
    </row>
    <row r="348" spans="1:4" x14ac:dyDescent="0.35">
      <c r="A348" s="3"/>
      <c r="D348" s="51"/>
    </row>
    <row r="349" spans="1:4" x14ac:dyDescent="0.35">
      <c r="A349" s="3"/>
      <c r="D349" s="51"/>
    </row>
    <row r="350" spans="1:4" x14ac:dyDescent="0.35">
      <c r="A350" s="3"/>
      <c r="D350" s="51"/>
    </row>
    <row r="351" spans="1:4" x14ac:dyDescent="0.35">
      <c r="A351" s="3"/>
      <c r="D351" s="51"/>
    </row>
    <row r="352" spans="1:4" x14ac:dyDescent="0.35">
      <c r="A352" s="3"/>
      <c r="D352" s="51"/>
    </row>
    <row r="353" spans="1:4" x14ac:dyDescent="0.35">
      <c r="A353" s="3"/>
      <c r="D353" s="51"/>
    </row>
    <row r="354" spans="1:4" x14ac:dyDescent="0.35">
      <c r="A354" s="3"/>
      <c r="D354" s="51"/>
    </row>
    <row r="355" spans="1:4" x14ac:dyDescent="0.35">
      <c r="A355" s="3"/>
      <c r="D355" s="51"/>
    </row>
    <row r="356" spans="1:4" x14ac:dyDescent="0.35">
      <c r="A356" s="3"/>
      <c r="D356" s="51"/>
    </row>
    <row r="357" spans="1:4" x14ac:dyDescent="0.35">
      <c r="A357" s="3"/>
      <c r="D357" s="51"/>
    </row>
    <row r="358" spans="1:4" x14ac:dyDescent="0.35">
      <c r="A358" s="3"/>
      <c r="D358" s="51"/>
    </row>
    <row r="359" spans="1:4" x14ac:dyDescent="0.35">
      <c r="A359" s="3"/>
      <c r="D359" s="51"/>
    </row>
    <row r="360" spans="1:4" x14ac:dyDescent="0.35">
      <c r="A360" s="3"/>
      <c r="D360" s="51"/>
    </row>
    <row r="361" spans="1:4" x14ac:dyDescent="0.35">
      <c r="A361" s="3"/>
      <c r="D361" s="51"/>
    </row>
    <row r="362" spans="1:4" x14ac:dyDescent="0.35">
      <c r="A362" s="3"/>
      <c r="D362" s="51"/>
    </row>
    <row r="363" spans="1:4" x14ac:dyDescent="0.35">
      <c r="A363" s="3"/>
      <c r="D363" s="51"/>
    </row>
    <row r="364" spans="1:4" x14ac:dyDescent="0.35">
      <c r="A364" s="3"/>
      <c r="D364" s="51"/>
    </row>
    <row r="365" spans="1:4" x14ac:dyDescent="0.35">
      <c r="A365" s="3"/>
      <c r="D365" s="51"/>
    </row>
    <row r="366" spans="1:4" x14ac:dyDescent="0.35">
      <c r="A366" s="3"/>
      <c r="D366" s="51"/>
    </row>
    <row r="367" spans="1:4" x14ac:dyDescent="0.35">
      <c r="A367" s="3"/>
      <c r="D367" s="51"/>
    </row>
    <row r="368" spans="1:4" x14ac:dyDescent="0.35">
      <c r="A368" s="3"/>
      <c r="D368" s="51"/>
    </row>
    <row r="369" spans="1:4" x14ac:dyDescent="0.35">
      <c r="A369" s="3"/>
      <c r="D369" s="51"/>
    </row>
    <row r="370" spans="1:4" x14ac:dyDescent="0.35">
      <c r="A370" s="3"/>
      <c r="D370" s="51"/>
    </row>
    <row r="371" spans="1:4" x14ac:dyDescent="0.35">
      <c r="A371" s="3"/>
      <c r="D371" s="51"/>
    </row>
    <row r="372" spans="1:4" x14ac:dyDescent="0.35">
      <c r="A372" s="3"/>
      <c r="D372" s="51"/>
    </row>
    <row r="373" spans="1:4" x14ac:dyDescent="0.35">
      <c r="A373" s="3"/>
      <c r="D373" s="51"/>
    </row>
    <row r="374" spans="1:4" x14ac:dyDescent="0.35">
      <c r="A374" s="3"/>
      <c r="D374" s="51"/>
    </row>
    <row r="375" spans="1:4" x14ac:dyDescent="0.35">
      <c r="A375" s="3"/>
      <c r="D375" s="51"/>
    </row>
    <row r="376" spans="1:4" x14ac:dyDescent="0.35">
      <c r="A376" s="3"/>
      <c r="D376" s="51"/>
    </row>
    <row r="377" spans="1:4" x14ac:dyDescent="0.35">
      <c r="A377" s="3"/>
      <c r="D377" s="51"/>
    </row>
    <row r="378" spans="1:4" x14ac:dyDescent="0.35">
      <c r="A378" s="3"/>
      <c r="D378" s="51"/>
    </row>
    <row r="379" spans="1:4" x14ac:dyDescent="0.35">
      <c r="A379" s="3"/>
      <c r="D379" s="51"/>
    </row>
    <row r="380" spans="1:4" x14ac:dyDescent="0.35">
      <c r="A380" s="3"/>
      <c r="D380" s="51"/>
    </row>
    <row r="381" spans="1:4" x14ac:dyDescent="0.35">
      <c r="A381" s="3"/>
      <c r="D381" s="51"/>
    </row>
    <row r="382" spans="1:4" x14ac:dyDescent="0.35">
      <c r="A382" s="3"/>
      <c r="D382" s="51"/>
    </row>
    <row r="383" spans="1:4" x14ac:dyDescent="0.35">
      <c r="A383" s="3"/>
      <c r="D383" s="51"/>
    </row>
    <row r="384" spans="1:4" x14ac:dyDescent="0.35">
      <c r="A384" s="3"/>
      <c r="D384" s="51"/>
    </row>
    <row r="385" spans="1:4" x14ac:dyDescent="0.35">
      <c r="A385" s="3"/>
      <c r="D385" s="51"/>
    </row>
    <row r="386" spans="1:4" x14ac:dyDescent="0.35">
      <c r="A386" s="3"/>
      <c r="D386" s="51"/>
    </row>
    <row r="387" spans="1:4" x14ac:dyDescent="0.35">
      <c r="A387" s="3"/>
      <c r="D387" s="51"/>
    </row>
    <row r="388" spans="1:4" x14ac:dyDescent="0.35">
      <c r="A388" s="3"/>
      <c r="D388" s="51"/>
    </row>
    <row r="389" spans="1:4" x14ac:dyDescent="0.35">
      <c r="A389" s="3"/>
      <c r="D389" s="51"/>
    </row>
    <row r="390" spans="1:4" x14ac:dyDescent="0.35">
      <c r="A390" s="3"/>
      <c r="D390" s="51"/>
    </row>
    <row r="391" spans="1:4" x14ac:dyDescent="0.35">
      <c r="A391" s="3"/>
      <c r="D391" s="51"/>
    </row>
    <row r="392" spans="1:4" x14ac:dyDescent="0.35">
      <c r="A392" s="3"/>
      <c r="D392" s="51"/>
    </row>
    <row r="393" spans="1:4" x14ac:dyDescent="0.35">
      <c r="A393" s="3"/>
      <c r="D393" s="51"/>
    </row>
    <row r="394" spans="1:4" x14ac:dyDescent="0.35">
      <c r="A394" s="3"/>
      <c r="D394" s="51"/>
    </row>
    <row r="395" spans="1:4" x14ac:dyDescent="0.35">
      <c r="A395" s="3"/>
      <c r="D395" s="51"/>
    </row>
    <row r="396" spans="1:4" x14ac:dyDescent="0.35">
      <c r="A396" s="3"/>
      <c r="D396" s="51"/>
    </row>
    <row r="397" spans="1:4" x14ac:dyDescent="0.35">
      <c r="A397" s="3"/>
      <c r="D397" s="51"/>
    </row>
    <row r="398" spans="1:4" x14ac:dyDescent="0.35">
      <c r="A398" s="3"/>
      <c r="D398" s="51"/>
    </row>
    <row r="399" spans="1:4" x14ac:dyDescent="0.35">
      <c r="A399" s="3"/>
      <c r="D399" s="51"/>
    </row>
    <row r="400" spans="1:4" x14ac:dyDescent="0.35">
      <c r="A400" s="3"/>
      <c r="D400" s="51"/>
    </row>
    <row r="401" spans="1:4" x14ac:dyDescent="0.35">
      <c r="A401" s="3"/>
      <c r="D401" s="51"/>
    </row>
    <row r="402" spans="1:4" x14ac:dyDescent="0.35">
      <c r="A402" s="3"/>
      <c r="D402" s="51"/>
    </row>
    <row r="403" spans="1:4" x14ac:dyDescent="0.35">
      <c r="A403" s="3"/>
      <c r="D403" s="51"/>
    </row>
    <row r="404" spans="1:4" x14ac:dyDescent="0.35">
      <c r="A404" s="3"/>
      <c r="D404" s="51"/>
    </row>
    <row r="405" spans="1:4" x14ac:dyDescent="0.35">
      <c r="A405" s="3"/>
      <c r="D405" s="51"/>
    </row>
    <row r="406" spans="1:4" x14ac:dyDescent="0.35">
      <c r="A406" s="3"/>
      <c r="D406" s="51"/>
    </row>
    <row r="407" spans="1:4" x14ac:dyDescent="0.35">
      <c r="A407" s="3"/>
      <c r="D407" s="51"/>
    </row>
    <row r="408" spans="1:4" x14ac:dyDescent="0.35">
      <c r="A408" s="3"/>
      <c r="D408" s="51"/>
    </row>
    <row r="409" spans="1:4" x14ac:dyDescent="0.35">
      <c r="A409" s="3"/>
      <c r="D409" s="51"/>
    </row>
    <row r="410" spans="1:4" x14ac:dyDescent="0.35">
      <c r="A410" s="3"/>
      <c r="D410" s="51"/>
    </row>
    <row r="411" spans="1:4" x14ac:dyDescent="0.35">
      <c r="A411" s="3"/>
      <c r="D411" s="51"/>
    </row>
    <row r="412" spans="1:4" x14ac:dyDescent="0.35">
      <c r="A412" s="3"/>
      <c r="D412" s="51"/>
    </row>
    <row r="413" spans="1:4" x14ac:dyDescent="0.35">
      <c r="A413" s="3"/>
      <c r="D413" s="51"/>
    </row>
    <row r="414" spans="1:4" x14ac:dyDescent="0.35">
      <c r="A414" s="3"/>
      <c r="D414" s="51"/>
    </row>
    <row r="415" spans="1:4" x14ac:dyDescent="0.35">
      <c r="A415" s="3"/>
      <c r="D415" s="51"/>
    </row>
    <row r="416" spans="1:4" x14ac:dyDescent="0.35">
      <c r="A416" s="3"/>
      <c r="D416" s="51"/>
    </row>
    <row r="417" spans="1:4" x14ac:dyDescent="0.35">
      <c r="A417" s="3"/>
      <c r="D417" s="51"/>
    </row>
    <row r="418" spans="1:4" x14ac:dyDescent="0.35">
      <c r="A418" s="3"/>
      <c r="D418" s="51"/>
    </row>
    <row r="419" spans="1:4" x14ac:dyDescent="0.35">
      <c r="A419" s="3"/>
      <c r="D419" s="51"/>
    </row>
    <row r="420" spans="1:4" x14ac:dyDescent="0.35">
      <c r="A420" s="3"/>
      <c r="D420" s="51"/>
    </row>
    <row r="421" spans="1:4" x14ac:dyDescent="0.35">
      <c r="A421" s="3"/>
      <c r="D421" s="51"/>
    </row>
    <row r="422" spans="1:4" x14ac:dyDescent="0.35">
      <c r="A422" s="3"/>
      <c r="D422" s="51"/>
    </row>
    <row r="423" spans="1:4" x14ac:dyDescent="0.35">
      <c r="A423" s="3"/>
      <c r="D423" s="51"/>
    </row>
    <row r="424" spans="1:4" x14ac:dyDescent="0.35">
      <c r="A424" s="3"/>
      <c r="D424" s="51"/>
    </row>
    <row r="425" spans="1:4" x14ac:dyDescent="0.35">
      <c r="A425" s="3"/>
      <c r="D425" s="51"/>
    </row>
    <row r="426" spans="1:4" x14ac:dyDescent="0.35">
      <c r="A426" s="3"/>
      <c r="D426" s="51"/>
    </row>
    <row r="427" spans="1:4" x14ac:dyDescent="0.35">
      <c r="A427" s="3"/>
      <c r="D427" s="51"/>
    </row>
    <row r="428" spans="1:4" x14ac:dyDescent="0.35">
      <c r="A428" s="3"/>
      <c r="D428" s="51"/>
    </row>
    <row r="429" spans="1:4" x14ac:dyDescent="0.35">
      <c r="A429" s="3"/>
      <c r="D429" s="51"/>
    </row>
    <row r="430" spans="1:4" x14ac:dyDescent="0.35">
      <c r="A430" s="3"/>
      <c r="D430" s="51"/>
    </row>
    <row r="431" spans="1:4" x14ac:dyDescent="0.35">
      <c r="A431" s="3"/>
      <c r="D431" s="51"/>
    </row>
    <row r="432" spans="1:4" x14ac:dyDescent="0.35">
      <c r="A432" s="3"/>
      <c r="D432" s="51"/>
    </row>
    <row r="433" spans="1:4" x14ac:dyDescent="0.35">
      <c r="A433" s="3"/>
      <c r="D433" s="51"/>
    </row>
    <row r="434" spans="1:4" x14ac:dyDescent="0.35">
      <c r="A434" s="3"/>
      <c r="D434" s="51"/>
    </row>
    <row r="435" spans="1:4" x14ac:dyDescent="0.35">
      <c r="A435" s="3"/>
      <c r="D435" s="51"/>
    </row>
    <row r="436" spans="1:4" x14ac:dyDescent="0.35">
      <c r="A436" s="3"/>
      <c r="D436" s="51"/>
    </row>
    <row r="437" spans="1:4" x14ac:dyDescent="0.35">
      <c r="A437" s="3"/>
      <c r="D437" s="51"/>
    </row>
    <row r="438" spans="1:4" x14ac:dyDescent="0.35">
      <c r="A438" s="3"/>
      <c r="D438" s="51"/>
    </row>
    <row r="439" spans="1:4" x14ac:dyDescent="0.35">
      <c r="A439" s="3"/>
      <c r="D439" s="51"/>
    </row>
    <row r="440" spans="1:4" x14ac:dyDescent="0.35">
      <c r="A440" s="3"/>
      <c r="D440" s="51"/>
    </row>
    <row r="441" spans="1:4" x14ac:dyDescent="0.35">
      <c r="A441" s="3"/>
      <c r="D441" s="51"/>
    </row>
    <row r="442" spans="1:4" x14ac:dyDescent="0.35">
      <c r="A442" s="3"/>
      <c r="D442" s="51"/>
    </row>
    <row r="443" spans="1:4" x14ac:dyDescent="0.35">
      <c r="A443" s="3"/>
      <c r="D443" s="51"/>
    </row>
    <row r="444" spans="1:4" x14ac:dyDescent="0.35">
      <c r="A444" s="3"/>
      <c r="D444" s="51"/>
    </row>
    <row r="445" spans="1:4" x14ac:dyDescent="0.35">
      <c r="A445" s="3"/>
      <c r="D445" s="51"/>
    </row>
    <row r="446" spans="1:4" x14ac:dyDescent="0.35">
      <c r="A446" s="3"/>
      <c r="D446" s="51"/>
    </row>
    <row r="447" spans="1:4" x14ac:dyDescent="0.35">
      <c r="A447" s="3"/>
      <c r="D447" s="51"/>
    </row>
    <row r="448" spans="1:4" x14ac:dyDescent="0.35">
      <c r="A448" s="3"/>
      <c r="D448" s="51"/>
    </row>
    <row r="449" spans="1:4" x14ac:dyDescent="0.35">
      <c r="A449" s="3"/>
      <c r="D449" s="51"/>
    </row>
    <row r="450" spans="1:4" x14ac:dyDescent="0.35">
      <c r="A450" s="3"/>
      <c r="D450" s="51"/>
    </row>
    <row r="451" spans="1:4" x14ac:dyDescent="0.35">
      <c r="A451" s="3"/>
      <c r="D451" s="51"/>
    </row>
    <row r="452" spans="1:4" x14ac:dyDescent="0.35">
      <c r="A452" s="3"/>
      <c r="D452" s="51"/>
    </row>
    <row r="453" spans="1:4" x14ac:dyDescent="0.35">
      <c r="A453" s="3"/>
      <c r="D453" s="51"/>
    </row>
    <row r="454" spans="1:4" x14ac:dyDescent="0.35">
      <c r="A454" s="3"/>
      <c r="D454" s="51"/>
    </row>
    <row r="455" spans="1:4" x14ac:dyDescent="0.35">
      <c r="A455" s="3"/>
      <c r="D455" s="51"/>
    </row>
    <row r="456" spans="1:4" x14ac:dyDescent="0.35">
      <c r="A456" s="3"/>
      <c r="D456" s="51"/>
    </row>
    <row r="457" spans="1:4" x14ac:dyDescent="0.35">
      <c r="A457" s="3"/>
      <c r="D457" s="51"/>
    </row>
    <row r="458" spans="1:4" x14ac:dyDescent="0.35">
      <c r="A458" s="3"/>
      <c r="D458" s="51"/>
    </row>
    <row r="459" spans="1:4" x14ac:dyDescent="0.35">
      <c r="A459" s="3"/>
      <c r="D459" s="51"/>
    </row>
    <row r="460" spans="1:4" x14ac:dyDescent="0.35">
      <c r="A460" s="3"/>
      <c r="D460" s="51"/>
    </row>
    <row r="461" spans="1:4" x14ac:dyDescent="0.35">
      <c r="A461" s="3"/>
      <c r="D461" s="51"/>
    </row>
    <row r="462" spans="1:4" x14ac:dyDescent="0.35">
      <c r="A462" s="3"/>
      <c r="D462" s="51"/>
    </row>
    <row r="463" spans="1:4" x14ac:dyDescent="0.35">
      <c r="A463" s="3"/>
      <c r="D463" s="51"/>
    </row>
    <row r="464" spans="1:4" x14ac:dyDescent="0.35">
      <c r="A464" s="3"/>
      <c r="D464" s="51"/>
    </row>
    <row r="465" spans="1:4" x14ac:dyDescent="0.35">
      <c r="A465" s="3"/>
      <c r="D465" s="51"/>
    </row>
    <row r="466" spans="1:4" x14ac:dyDescent="0.35">
      <c r="A466" s="3"/>
      <c r="D466" s="51"/>
    </row>
    <row r="467" spans="1:4" x14ac:dyDescent="0.35">
      <c r="A467" s="3"/>
      <c r="D467" s="51"/>
    </row>
    <row r="468" spans="1:4" x14ac:dyDescent="0.35">
      <c r="A468" s="3"/>
      <c r="D468" s="51"/>
    </row>
    <row r="469" spans="1:4" x14ac:dyDescent="0.35">
      <c r="A469" s="3"/>
      <c r="D469" s="51"/>
    </row>
    <row r="470" spans="1:4" x14ac:dyDescent="0.35">
      <c r="A470" s="3"/>
      <c r="D470" s="51"/>
    </row>
    <row r="471" spans="1:4" x14ac:dyDescent="0.35">
      <c r="A471" s="3"/>
      <c r="D471" s="51"/>
    </row>
    <row r="472" spans="1:4" x14ac:dyDescent="0.35">
      <c r="A472" s="3"/>
      <c r="D472" s="51"/>
    </row>
    <row r="473" spans="1:4" x14ac:dyDescent="0.35">
      <c r="A473" s="3"/>
      <c r="D473" s="51"/>
    </row>
    <row r="474" spans="1:4" x14ac:dyDescent="0.35">
      <c r="A474" s="3"/>
      <c r="D474" s="51"/>
    </row>
    <row r="475" spans="1:4" x14ac:dyDescent="0.35">
      <c r="A475" s="3"/>
      <c r="D475" s="51"/>
    </row>
    <row r="476" spans="1:4" x14ac:dyDescent="0.35">
      <c r="A476" s="3"/>
      <c r="D476" s="51"/>
    </row>
    <row r="477" spans="1:4" x14ac:dyDescent="0.35">
      <c r="A477" s="3"/>
      <c r="D477" s="51"/>
    </row>
    <row r="478" spans="1:4" x14ac:dyDescent="0.35">
      <c r="A478" s="3"/>
      <c r="D478" s="51"/>
    </row>
    <row r="479" spans="1:4" x14ac:dyDescent="0.35">
      <c r="A479" s="3"/>
      <c r="D479" s="51"/>
    </row>
    <row r="480" spans="1:4" x14ac:dyDescent="0.35">
      <c r="A480" s="3"/>
      <c r="D480" s="51"/>
    </row>
    <row r="481" spans="1:4" x14ac:dyDescent="0.35">
      <c r="A481" s="3"/>
      <c r="D481" s="51"/>
    </row>
    <row r="482" spans="1:4" x14ac:dyDescent="0.35">
      <c r="A482" s="3"/>
      <c r="D482" s="51"/>
    </row>
    <row r="483" spans="1:4" x14ac:dyDescent="0.35">
      <c r="A483" s="3"/>
      <c r="D483" s="51"/>
    </row>
    <row r="484" spans="1:4" x14ac:dyDescent="0.35">
      <c r="A484" s="3"/>
      <c r="D484" s="51"/>
    </row>
    <row r="485" spans="1:4" x14ac:dyDescent="0.35">
      <c r="A485" s="3"/>
      <c r="D485" s="51"/>
    </row>
    <row r="486" spans="1:4" x14ac:dyDescent="0.35">
      <c r="A486" s="3"/>
      <c r="D486" s="51"/>
    </row>
    <row r="487" spans="1:4" x14ac:dyDescent="0.35">
      <c r="A487" s="3"/>
      <c r="D487" s="51"/>
    </row>
    <row r="488" spans="1:4" x14ac:dyDescent="0.35">
      <c r="A488" s="3"/>
      <c r="D488" s="51"/>
    </row>
    <row r="489" spans="1:4" x14ac:dyDescent="0.35">
      <c r="A489" s="3"/>
      <c r="D489" s="51"/>
    </row>
    <row r="490" spans="1:4" x14ac:dyDescent="0.35">
      <c r="A490" s="3"/>
      <c r="D490" s="51"/>
    </row>
    <row r="491" spans="1:4" x14ac:dyDescent="0.35">
      <c r="A491" s="3"/>
      <c r="D491" s="51"/>
    </row>
    <row r="492" spans="1:4" x14ac:dyDescent="0.35">
      <c r="A492" s="3"/>
      <c r="D492" s="51"/>
    </row>
    <row r="493" spans="1:4" x14ac:dyDescent="0.35">
      <c r="A493" s="3"/>
      <c r="D493" s="51"/>
    </row>
    <row r="494" spans="1:4" x14ac:dyDescent="0.35">
      <c r="A494" s="3"/>
      <c r="D494" s="51"/>
    </row>
    <row r="495" spans="1:4" x14ac:dyDescent="0.35">
      <c r="A495" s="3"/>
      <c r="D495" s="51"/>
    </row>
    <row r="496" spans="1:4" x14ac:dyDescent="0.35">
      <c r="A496" s="3"/>
      <c r="D496" s="51"/>
    </row>
    <row r="497" spans="1:4" x14ac:dyDescent="0.35">
      <c r="A497" s="3"/>
      <c r="D497" s="51"/>
    </row>
    <row r="498" spans="1:4" x14ac:dyDescent="0.35">
      <c r="A498" s="3"/>
      <c r="D498" s="51"/>
    </row>
    <row r="499" spans="1:4" x14ac:dyDescent="0.35">
      <c r="A499" s="3"/>
      <c r="D499" s="51"/>
    </row>
    <row r="500" spans="1:4" x14ac:dyDescent="0.35">
      <c r="A500" s="3"/>
      <c r="D500" s="51"/>
    </row>
    <row r="501" spans="1:4" x14ac:dyDescent="0.35">
      <c r="A501" s="3"/>
      <c r="D501" s="51"/>
    </row>
    <row r="502" spans="1:4" x14ac:dyDescent="0.35">
      <c r="A502" s="3"/>
      <c r="D502" s="51"/>
    </row>
    <row r="503" spans="1:4" x14ac:dyDescent="0.35">
      <c r="A503" s="3"/>
      <c r="D503" s="51"/>
    </row>
    <row r="504" spans="1:4" x14ac:dyDescent="0.35">
      <c r="A504" s="3"/>
      <c r="D504" s="51"/>
    </row>
    <row r="505" spans="1:4" x14ac:dyDescent="0.35">
      <c r="A505" s="3"/>
      <c r="D505" s="51"/>
    </row>
    <row r="506" spans="1:4" x14ac:dyDescent="0.35">
      <c r="A506" s="3"/>
      <c r="D506" s="51"/>
    </row>
    <row r="507" spans="1:4" x14ac:dyDescent="0.35">
      <c r="A507" s="3"/>
      <c r="D507" s="51"/>
    </row>
    <row r="508" spans="1:4" x14ac:dyDescent="0.35">
      <c r="A508" s="3"/>
      <c r="D508" s="51"/>
    </row>
    <row r="509" spans="1:4" x14ac:dyDescent="0.35">
      <c r="A509" s="3"/>
      <c r="D509" s="51"/>
    </row>
    <row r="510" spans="1:4" x14ac:dyDescent="0.35">
      <c r="A510" s="3"/>
      <c r="D510" s="51"/>
    </row>
    <row r="511" spans="1:4" x14ac:dyDescent="0.35">
      <c r="A511" s="3"/>
      <c r="D511" s="51"/>
    </row>
    <row r="512" spans="1:4" x14ac:dyDescent="0.35">
      <c r="A512" s="3"/>
      <c r="D512" s="51"/>
    </row>
    <row r="513" spans="1:4" x14ac:dyDescent="0.35">
      <c r="A513" s="3"/>
      <c r="D513" s="51"/>
    </row>
    <row r="514" spans="1:4" x14ac:dyDescent="0.35">
      <c r="A514" s="3"/>
      <c r="D514" s="51"/>
    </row>
    <row r="515" spans="1:4" x14ac:dyDescent="0.35">
      <c r="A515" s="3"/>
      <c r="D515" s="51"/>
    </row>
    <row r="516" spans="1:4" x14ac:dyDescent="0.35">
      <c r="A516" s="3"/>
      <c r="D516" s="51"/>
    </row>
    <row r="517" spans="1:4" x14ac:dyDescent="0.35">
      <c r="A517" s="3"/>
      <c r="D517" s="51"/>
    </row>
    <row r="518" spans="1:4" x14ac:dyDescent="0.35">
      <c r="A518" s="3"/>
      <c r="D518" s="51"/>
    </row>
    <row r="519" spans="1:4" x14ac:dyDescent="0.35">
      <c r="A519" s="3"/>
      <c r="D519" s="51"/>
    </row>
    <row r="520" spans="1:4" x14ac:dyDescent="0.35">
      <c r="A520" s="3"/>
      <c r="D520" s="51"/>
    </row>
    <row r="521" spans="1:4" x14ac:dyDescent="0.35">
      <c r="A521" s="3"/>
      <c r="D521" s="51"/>
    </row>
    <row r="522" spans="1:4" x14ac:dyDescent="0.35">
      <c r="A522" s="3"/>
      <c r="D522" s="51"/>
    </row>
    <row r="523" spans="1:4" x14ac:dyDescent="0.35">
      <c r="A523" s="3"/>
      <c r="D523" s="51"/>
    </row>
    <row r="524" spans="1:4" x14ac:dyDescent="0.35">
      <c r="A524" s="3"/>
      <c r="D524" s="51"/>
    </row>
    <row r="525" spans="1:4" x14ac:dyDescent="0.35">
      <c r="A525" s="3"/>
      <c r="D525" s="51"/>
    </row>
    <row r="526" spans="1:4" x14ac:dyDescent="0.35">
      <c r="A526" s="3"/>
      <c r="D526" s="51"/>
    </row>
    <row r="527" spans="1:4" x14ac:dyDescent="0.35">
      <c r="A527" s="3"/>
      <c r="D527" s="51"/>
    </row>
    <row r="528" spans="1:4" x14ac:dyDescent="0.35">
      <c r="A528" s="3"/>
      <c r="D528" s="51"/>
    </row>
    <row r="529" spans="1:4" x14ac:dyDescent="0.35">
      <c r="A529" s="3"/>
      <c r="D529" s="51"/>
    </row>
    <row r="530" spans="1:4" x14ac:dyDescent="0.35">
      <c r="A530" s="3"/>
      <c r="D530" s="51"/>
    </row>
    <row r="531" spans="1:4" x14ac:dyDescent="0.35">
      <c r="A531" s="3"/>
      <c r="D531" s="51"/>
    </row>
    <row r="532" spans="1:4" x14ac:dyDescent="0.35">
      <c r="A532" s="3"/>
      <c r="D532" s="51"/>
    </row>
    <row r="533" spans="1:4" x14ac:dyDescent="0.35">
      <c r="A533" s="3"/>
      <c r="D533" s="51"/>
    </row>
    <row r="534" spans="1:4" x14ac:dyDescent="0.35">
      <c r="A534" s="3"/>
      <c r="D534" s="51"/>
    </row>
    <row r="535" spans="1:4" x14ac:dyDescent="0.35">
      <c r="A535" s="3"/>
      <c r="D535" s="51"/>
    </row>
    <row r="536" spans="1:4" x14ac:dyDescent="0.35">
      <c r="A536" s="3"/>
      <c r="D536" s="51"/>
    </row>
    <row r="537" spans="1:4" x14ac:dyDescent="0.35">
      <c r="A537" s="3"/>
      <c r="D537" s="51"/>
    </row>
    <row r="538" spans="1:4" x14ac:dyDescent="0.35">
      <c r="A538" s="3"/>
      <c r="D538" s="51"/>
    </row>
    <row r="539" spans="1:4" x14ac:dyDescent="0.35">
      <c r="A539" s="3"/>
      <c r="D539" s="51"/>
    </row>
    <row r="540" spans="1:4" x14ac:dyDescent="0.35">
      <c r="A540" s="3"/>
      <c r="D540" s="51"/>
    </row>
    <row r="541" spans="1:4" x14ac:dyDescent="0.35">
      <c r="A541" s="3"/>
      <c r="D541" s="51"/>
    </row>
    <row r="542" spans="1:4" x14ac:dyDescent="0.35">
      <c r="A542" s="3"/>
      <c r="D542" s="51"/>
    </row>
    <row r="543" spans="1:4" x14ac:dyDescent="0.35">
      <c r="A543" s="3"/>
      <c r="D543" s="51"/>
    </row>
    <row r="544" spans="1:4" x14ac:dyDescent="0.35">
      <c r="A544" s="3"/>
      <c r="D544" s="51"/>
    </row>
    <row r="545" spans="1:4" x14ac:dyDescent="0.35">
      <c r="A545" s="3"/>
      <c r="D545" s="51"/>
    </row>
    <row r="546" spans="1:4" x14ac:dyDescent="0.35">
      <c r="A546" s="3"/>
      <c r="D546" s="51"/>
    </row>
    <row r="547" spans="1:4" x14ac:dyDescent="0.35">
      <c r="A547" s="3"/>
      <c r="D547" s="51"/>
    </row>
    <row r="548" spans="1:4" x14ac:dyDescent="0.35">
      <c r="A548" s="3"/>
      <c r="D548" s="51"/>
    </row>
    <row r="549" spans="1:4" x14ac:dyDescent="0.35">
      <c r="A549" s="3"/>
      <c r="D549" s="51"/>
    </row>
    <row r="550" spans="1:4" x14ac:dyDescent="0.35">
      <c r="A550" s="3"/>
      <c r="D550" s="51"/>
    </row>
    <row r="551" spans="1:4" x14ac:dyDescent="0.35">
      <c r="A551" s="3"/>
      <c r="D551" s="51"/>
    </row>
    <row r="552" spans="1:4" x14ac:dyDescent="0.35">
      <c r="A552" s="3"/>
      <c r="D552" s="51"/>
    </row>
    <row r="553" spans="1:4" x14ac:dyDescent="0.35">
      <c r="A553" s="3"/>
      <c r="D553" s="51"/>
    </row>
    <row r="554" spans="1:4" x14ac:dyDescent="0.35">
      <c r="A554" s="3"/>
      <c r="D554" s="51"/>
    </row>
    <row r="555" spans="1:4" x14ac:dyDescent="0.35">
      <c r="A555" s="3"/>
      <c r="D555" s="51"/>
    </row>
    <row r="556" spans="1:4" x14ac:dyDescent="0.35">
      <c r="A556" s="3"/>
      <c r="D556" s="51"/>
    </row>
    <row r="557" spans="1:4" x14ac:dyDescent="0.35">
      <c r="A557" s="3"/>
      <c r="D557" s="51"/>
    </row>
    <row r="558" spans="1:4" x14ac:dyDescent="0.35">
      <c r="A558" s="3"/>
      <c r="D558" s="51"/>
    </row>
    <row r="559" spans="1:4" x14ac:dyDescent="0.35">
      <c r="A559" s="3"/>
      <c r="D559" s="51"/>
    </row>
    <row r="560" spans="1:4" x14ac:dyDescent="0.35">
      <c r="A560" s="3"/>
      <c r="D560" s="51"/>
    </row>
    <row r="561" spans="1:4" x14ac:dyDescent="0.35">
      <c r="A561" s="3"/>
      <c r="D561" s="51"/>
    </row>
    <row r="562" spans="1:4" x14ac:dyDescent="0.35">
      <c r="A562" s="3"/>
      <c r="D562" s="51"/>
    </row>
    <row r="563" spans="1:4" x14ac:dyDescent="0.35">
      <c r="A563" s="3"/>
      <c r="D563" s="51"/>
    </row>
    <row r="564" spans="1:4" x14ac:dyDescent="0.35">
      <c r="A564" s="3"/>
      <c r="D564" s="51"/>
    </row>
    <row r="565" spans="1:4" x14ac:dyDescent="0.35">
      <c r="A565" s="3"/>
      <c r="D565" s="51"/>
    </row>
    <row r="566" spans="1:4" x14ac:dyDescent="0.35">
      <c r="A566" s="3"/>
      <c r="D566" s="51"/>
    </row>
    <row r="567" spans="1:4" x14ac:dyDescent="0.35">
      <c r="A567" s="3"/>
      <c r="D567" s="51"/>
    </row>
    <row r="568" spans="1:4" x14ac:dyDescent="0.35">
      <c r="A568" s="3"/>
      <c r="D568" s="51"/>
    </row>
    <row r="569" spans="1:4" x14ac:dyDescent="0.35">
      <c r="A569" s="3"/>
      <c r="D569" s="51"/>
    </row>
    <row r="570" spans="1:4" x14ac:dyDescent="0.35">
      <c r="A570" s="3"/>
      <c r="D570" s="51"/>
    </row>
    <row r="571" spans="1:4" x14ac:dyDescent="0.35">
      <c r="A571" s="3"/>
      <c r="D571" s="51"/>
    </row>
    <row r="572" spans="1:4" x14ac:dyDescent="0.35">
      <c r="A572" s="3"/>
      <c r="D572" s="51"/>
    </row>
    <row r="573" spans="1:4" x14ac:dyDescent="0.35">
      <c r="A573" s="3"/>
      <c r="D573" s="51"/>
    </row>
    <row r="574" spans="1:4" x14ac:dyDescent="0.35">
      <c r="A574" s="3"/>
      <c r="D574" s="51"/>
    </row>
    <row r="575" spans="1:4" x14ac:dyDescent="0.35">
      <c r="A575" s="3"/>
      <c r="D575" s="51"/>
    </row>
    <row r="576" spans="1:4" x14ac:dyDescent="0.35">
      <c r="A576" s="3"/>
      <c r="D576" s="51"/>
    </row>
    <row r="577" spans="1:4" x14ac:dyDescent="0.35">
      <c r="A577" s="3"/>
      <c r="D577" s="51"/>
    </row>
    <row r="578" spans="1:4" x14ac:dyDescent="0.35">
      <c r="A578" s="3"/>
      <c r="D578" s="51"/>
    </row>
    <row r="579" spans="1:4" x14ac:dyDescent="0.35">
      <c r="A579" s="3"/>
      <c r="D579" s="51"/>
    </row>
    <row r="580" spans="1:4" x14ac:dyDescent="0.35">
      <c r="A580" s="3"/>
      <c r="D580" s="51"/>
    </row>
    <row r="581" spans="1:4" x14ac:dyDescent="0.35">
      <c r="A581" s="3"/>
      <c r="D581" s="51"/>
    </row>
    <row r="582" spans="1:4" x14ac:dyDescent="0.35">
      <c r="A582" s="3"/>
      <c r="D582" s="51"/>
    </row>
    <row r="583" spans="1:4" x14ac:dyDescent="0.35">
      <c r="A583" s="3"/>
      <c r="D583" s="51"/>
    </row>
    <row r="584" spans="1:4" x14ac:dyDescent="0.35">
      <c r="A584" s="3"/>
      <c r="D584" s="51"/>
    </row>
    <row r="585" spans="1:4" x14ac:dyDescent="0.35">
      <c r="A585" s="3"/>
      <c r="D585" s="51"/>
    </row>
    <row r="586" spans="1:4" x14ac:dyDescent="0.35">
      <c r="A586" s="3"/>
      <c r="D586" s="51"/>
    </row>
    <row r="587" spans="1:4" x14ac:dyDescent="0.35">
      <c r="A587" s="3"/>
      <c r="D587" s="51"/>
    </row>
    <row r="588" spans="1:4" x14ac:dyDescent="0.35">
      <c r="A588" s="3"/>
      <c r="D588" s="51"/>
    </row>
    <row r="589" spans="1:4" x14ac:dyDescent="0.35">
      <c r="A589" s="3"/>
      <c r="D589" s="51"/>
    </row>
    <row r="590" spans="1:4" x14ac:dyDescent="0.35">
      <c r="A590" s="3"/>
      <c r="D590" s="51"/>
    </row>
    <row r="591" spans="1:4" x14ac:dyDescent="0.35">
      <c r="A591" s="3"/>
      <c r="D591" s="51"/>
    </row>
    <row r="592" spans="1:4" x14ac:dyDescent="0.35">
      <c r="A592" s="3"/>
      <c r="D592" s="51"/>
    </row>
    <row r="593" spans="1:4" x14ac:dyDescent="0.35">
      <c r="A593" s="3"/>
      <c r="D593" s="51"/>
    </row>
    <row r="594" spans="1:4" x14ac:dyDescent="0.35">
      <c r="A594" s="3"/>
      <c r="D594" s="51"/>
    </row>
    <row r="595" spans="1:4" x14ac:dyDescent="0.35">
      <c r="A595" s="3"/>
      <c r="D595" s="51"/>
    </row>
    <row r="596" spans="1:4" x14ac:dyDescent="0.35">
      <c r="A596" s="3"/>
      <c r="D596" s="51"/>
    </row>
    <row r="597" spans="1:4" x14ac:dyDescent="0.35">
      <c r="A597" s="3"/>
      <c r="D597" s="51"/>
    </row>
    <row r="598" spans="1:4" x14ac:dyDescent="0.35">
      <c r="A598" s="3"/>
      <c r="D598" s="51"/>
    </row>
    <row r="599" spans="1:4" x14ac:dyDescent="0.35">
      <c r="A599" s="3"/>
      <c r="D599" s="51"/>
    </row>
    <row r="600" spans="1:4" x14ac:dyDescent="0.35">
      <c r="A600" s="3"/>
      <c r="D600" s="51"/>
    </row>
    <row r="601" spans="1:4" x14ac:dyDescent="0.35">
      <c r="A601" s="3"/>
      <c r="D601" s="51"/>
    </row>
    <row r="602" spans="1:4" x14ac:dyDescent="0.35">
      <c r="A602" s="3"/>
      <c r="D602" s="51"/>
    </row>
    <row r="603" spans="1:4" x14ac:dyDescent="0.35">
      <c r="A603" s="3"/>
      <c r="D603" s="51"/>
    </row>
    <row r="604" spans="1:4" x14ac:dyDescent="0.35">
      <c r="A604" s="3"/>
      <c r="D604" s="51"/>
    </row>
    <row r="605" spans="1:4" x14ac:dyDescent="0.35">
      <c r="A605" s="3"/>
      <c r="D605" s="51"/>
    </row>
    <row r="606" spans="1:4" x14ac:dyDescent="0.35">
      <c r="A606" s="3"/>
      <c r="D606" s="51"/>
    </row>
    <row r="607" spans="1:4" x14ac:dyDescent="0.35">
      <c r="A607" s="3"/>
      <c r="D607" s="51"/>
    </row>
    <row r="608" spans="1:4" x14ac:dyDescent="0.35">
      <c r="A608" s="3"/>
    </row>
  </sheetData>
  <mergeCells count="1">
    <mergeCell ref="B11:C13"/>
  </mergeCell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Z380"/>
  <sheetViews>
    <sheetView topLeftCell="H1" zoomScale="67" workbookViewId="0">
      <selection activeCell="R34" sqref="R34"/>
    </sheetView>
  </sheetViews>
  <sheetFormatPr defaultRowHeight="14.5" x14ac:dyDescent="0.35"/>
  <cols>
    <col min="1" max="1" width="28.81640625" customWidth="1"/>
    <col min="2" max="2" width="24.7265625" customWidth="1"/>
    <col min="3" max="3" width="36.453125" customWidth="1"/>
    <col min="4" max="4" width="14.81640625" bestFit="1" customWidth="1"/>
    <col min="5" max="5" width="19.26953125" bestFit="1" customWidth="1"/>
    <col min="6" max="6" width="12" customWidth="1"/>
    <col min="7" max="7" width="20.26953125" bestFit="1" customWidth="1"/>
    <col min="8" max="8" width="12.54296875" bestFit="1" customWidth="1"/>
    <col min="10" max="10" width="13.54296875" bestFit="1" customWidth="1"/>
    <col min="13" max="13" width="2.81640625" bestFit="1" customWidth="1"/>
    <col min="14" max="14" width="10.54296875" style="95" bestFit="1" customWidth="1"/>
    <col min="15" max="15" width="26.1796875" bestFit="1" customWidth="1"/>
    <col min="16" max="16" width="17.453125" bestFit="1" customWidth="1"/>
    <col min="17" max="17" width="17.54296875" customWidth="1"/>
    <col min="18" max="18" width="9.26953125" bestFit="1" customWidth="1"/>
    <col min="19" max="19" width="27.54296875" bestFit="1" customWidth="1"/>
    <col min="20" max="20" width="17.81640625" bestFit="1" customWidth="1"/>
    <col min="21" max="21" width="23" bestFit="1" customWidth="1"/>
    <col min="22" max="22" width="19.54296875" customWidth="1"/>
    <col min="24" max="24" width="9.7265625" bestFit="1" customWidth="1"/>
  </cols>
  <sheetData>
    <row r="1" spans="1:26" x14ac:dyDescent="0.35">
      <c r="A1" s="6"/>
      <c r="B1" s="6"/>
      <c r="D1" s="86" t="s">
        <v>1234</v>
      </c>
      <c r="E1" s="57" t="s">
        <v>1235</v>
      </c>
      <c r="G1" s="58" t="s">
        <v>1236</v>
      </c>
      <c r="H1" s="59" t="s">
        <v>1234</v>
      </c>
      <c r="J1" s="77" t="s">
        <v>25</v>
      </c>
      <c r="K1" s="77" t="s">
        <v>13</v>
      </c>
    </row>
    <row r="2" spans="1:26" x14ac:dyDescent="0.35">
      <c r="A2" s="6" t="s">
        <v>5</v>
      </c>
      <c r="B2" s="6" t="str">
        <f>main!B9</f>
        <v>EUR</v>
      </c>
      <c r="D2" s="79">
        <f>IFERROR(IF(data!P18=0,"",data!P18),"")</f>
        <v>1.0054794520547945</v>
      </c>
      <c r="E2" s="61">
        <f>IFERROR(IF(data!O18=0,"",data!O18),"")</f>
        <v>45950.625</v>
      </c>
      <c r="G2" s="61">
        <f>IFERROR(IF(data!O60=0,"",data!O60),"")</f>
        <v>45677.583333333336</v>
      </c>
      <c r="H2" s="79">
        <f>IFERROR(IF(data!P60=0,"",data!P60),"")</f>
        <v>0.25753424657534246</v>
      </c>
      <c r="J2" s="80">
        <f>data!O107</f>
        <v>0</v>
      </c>
      <c r="K2" s="80" t="str">
        <f>TRIM(data!P107)</f>
        <v>GV4 TEXT</v>
      </c>
    </row>
    <row r="3" spans="1:26" x14ac:dyDescent="0.35">
      <c r="A3" s="6" t="s">
        <v>1237</v>
      </c>
      <c r="B3" s="6"/>
      <c r="D3" s="79">
        <f>IFERROR(IF(data!P19=0,"",data!P19),"")</f>
        <v>0.99726027397260275</v>
      </c>
      <c r="E3" s="61">
        <f>IFERROR(IF(data!O19=0,"",data!O19),"")</f>
        <v>46314.625</v>
      </c>
      <c r="G3" s="61">
        <f>IFERROR(IF(data!O61=0,"",data!O61),"")</f>
        <v>45769.625</v>
      </c>
      <c r="H3" s="79">
        <f>IFERROR(IF(data!P61=0,"",data!P61),"")</f>
        <v>0.25205479452054796</v>
      </c>
      <c r="J3" s="80" t="str">
        <f>data!O108</f>
        <v>SWAP/1</v>
      </c>
      <c r="K3" s="80" t="e">
        <f>TRIM(data!P108)</f>
        <v>#N/A</v>
      </c>
    </row>
    <row r="4" spans="1:26" ht="29" x14ac:dyDescent="0.35">
      <c r="A4" s="64" t="s">
        <v>1238</v>
      </c>
      <c r="B4" s="65">
        <f ca="1">main!B10</f>
        <v>45691</v>
      </c>
      <c r="D4" s="79">
        <f>IFERROR(IF(data!P20=0,"",data!P20),"")</f>
        <v>0.99726027397260275</v>
      </c>
      <c r="E4" s="61">
        <f>IFERROR(IF(data!O20=0,"",data!O20),"")</f>
        <v>46678.625</v>
      </c>
      <c r="G4" s="61">
        <f>IFERROR(IF(data!O62=0,"",data!O62),"")</f>
        <v>45856.625</v>
      </c>
      <c r="H4" s="79">
        <f>IFERROR(IF(data!P62=0,"",data!P62),"")</f>
        <v>0.23835616438356164</v>
      </c>
      <c r="J4" s="80" t="str">
        <f>data!O109</f>
        <v>EURIRSINFO</v>
      </c>
      <c r="K4" s="80" t="e">
        <f>TRIM(data!P109)</f>
        <v>#N/A</v>
      </c>
      <c r="M4" t="s">
        <v>1239</v>
      </c>
      <c r="Y4" s="100"/>
      <c r="Z4" s="100" t="s">
        <v>1240</v>
      </c>
    </row>
    <row r="5" spans="1:26" ht="29" x14ac:dyDescent="0.35">
      <c r="A5" s="60" t="s">
        <v>6</v>
      </c>
      <c r="B5" s="66">
        <f>data!P4</f>
        <v>45593</v>
      </c>
      <c r="D5" s="79"/>
      <c r="E5" s="61" t="str">
        <f>IFERROR(IF(data!O21=0,"",data!O21),"")</f>
        <v/>
      </c>
      <c r="G5" s="61">
        <f>IFERROR(IF(data!O63=0,"",data!O63),"")</f>
        <v>45950.625</v>
      </c>
      <c r="H5" s="79">
        <f>IFERROR(IF(data!P63=0,"",data!P63),"")</f>
        <v>0.25753424657534246</v>
      </c>
      <c r="J5" s="80" t="str">
        <f>data!O110</f>
        <v>EURSIRS1=!</v>
      </c>
      <c r="K5" s="80" t="str">
        <f>TRIM(data!P110)</f>
        <v/>
      </c>
      <c r="N5" s="96" t="s">
        <v>1241</v>
      </c>
      <c r="O5" t="s">
        <v>1242</v>
      </c>
      <c r="P5" t="s">
        <v>1243</v>
      </c>
      <c r="Q5" t="s">
        <v>1244</v>
      </c>
      <c r="R5" t="s">
        <v>1243</v>
      </c>
      <c r="Y5" s="100" t="s">
        <v>588</v>
      </c>
      <c r="Z5" s="100" t="s">
        <v>1245</v>
      </c>
    </row>
    <row r="6" spans="1:26" x14ac:dyDescent="0.35">
      <c r="A6" s="60" t="s">
        <v>1246</v>
      </c>
      <c r="B6" s="66">
        <f>data!P5</f>
        <v>45595</v>
      </c>
      <c r="D6" s="79"/>
      <c r="E6" s="61" t="str">
        <f>IFERROR(IF(data!O22=0,"",data!O22),"")</f>
        <v/>
      </c>
      <c r="G6" s="61">
        <f>IFERROR(IF(data!O64=0,"",data!O64),"")</f>
        <v>46041.583333333336</v>
      </c>
      <c r="H6" s="79">
        <f>IFERROR(IF(data!P64=0,"",data!P64),"")</f>
        <v>0.24931506849315069</v>
      </c>
      <c r="J6" s="80" t="str">
        <f>data!O111</f>
        <v>EURAB6E1Y=</v>
      </c>
      <c r="K6" s="80" t="str">
        <f>TRIM(data!P111)</f>
        <v>1Y</v>
      </c>
      <c r="N6" s="95" t="s">
        <v>1247</v>
      </c>
      <c r="O6" s="94">
        <v>45583</v>
      </c>
      <c r="P6">
        <v>5</v>
      </c>
      <c r="Q6" s="94">
        <f>O6</f>
        <v>45583</v>
      </c>
      <c r="R6">
        <f>P6</f>
        <v>5</v>
      </c>
    </row>
    <row r="7" spans="1:26" x14ac:dyDescent="0.35">
      <c r="A7" s="67" t="s">
        <v>50</v>
      </c>
      <c r="B7" s="78"/>
      <c r="D7" s="79"/>
      <c r="E7" s="61" t="str">
        <f>IFERROR(IF(data!O23=0,"",data!O23),"")</f>
        <v/>
      </c>
      <c r="G7" s="61">
        <f>IFERROR(IF(data!O65=0,"",data!O65),"")</f>
        <v>46132.625</v>
      </c>
      <c r="H7" s="79">
        <f>IFERROR(IF(data!P65=0,"",data!P65),"")</f>
        <v>0.24931506849315069</v>
      </c>
      <c r="J7" s="80" t="str">
        <f>data!O112</f>
        <v>EURAB6E18M=</v>
      </c>
      <c r="K7" s="80" t="str">
        <f>TRIM(data!P112)</f>
        <v>18M</v>
      </c>
      <c r="N7" s="95" t="s">
        <v>1248</v>
      </c>
      <c r="O7" s="94">
        <v>45587</v>
      </c>
      <c r="P7">
        <v>2</v>
      </c>
      <c r="Q7" s="94">
        <f>O7</f>
        <v>45587</v>
      </c>
      <c r="R7">
        <v>2</v>
      </c>
    </row>
    <row r="8" spans="1:26" x14ac:dyDescent="0.35">
      <c r="A8" s="6"/>
      <c r="B8" s="68"/>
      <c r="D8" s="79"/>
      <c r="E8" s="61" t="str">
        <f>IFERROR(IF(data!O24=0,"",data!O24),"")</f>
        <v/>
      </c>
      <c r="G8" s="61">
        <f>IFERROR(IF(data!O66=0,"",data!O66),"")</f>
        <v>46223.625</v>
      </c>
      <c r="H8" s="79">
        <f>IFERROR(IF(data!P66=0,"",data!P66),"")</f>
        <v>0.24931506849315069</v>
      </c>
      <c r="J8" s="80" t="str">
        <f>data!O113</f>
        <v>EURAB6E2Y=</v>
      </c>
      <c r="K8" s="80" t="str">
        <f>TRIM(data!P113)</f>
        <v>2Y</v>
      </c>
      <c r="N8" s="95" t="s">
        <v>1249</v>
      </c>
      <c r="O8" s="94" t="s">
        <v>1250</v>
      </c>
      <c r="P8">
        <v>4</v>
      </c>
      <c r="Q8" s="94" t="str">
        <f>O8</f>
        <v>22/10/2027</v>
      </c>
      <c r="R8">
        <v>4</v>
      </c>
      <c r="W8" s="6" t="s">
        <v>1251</v>
      </c>
      <c r="X8">
        <v>100</v>
      </c>
    </row>
    <row r="9" spans="1:26" x14ac:dyDescent="0.35">
      <c r="A9" s="64" t="s">
        <v>68</v>
      </c>
      <c r="B9" s="81" t="str">
        <f>data!P10</f>
        <v>EURIBOR6MD=</v>
      </c>
      <c r="D9" s="79"/>
      <c r="E9" s="61" t="str">
        <f>IFERROR(IF(data!O25=0,"",data!O25),"")</f>
        <v/>
      </c>
      <c r="G9" s="61">
        <f>IFERROR(IF(data!O67=0,"",data!O67),"")</f>
        <v>46314.625</v>
      </c>
      <c r="H9" s="79">
        <f>IFERROR(IF(data!P67=0,"",data!P67),"")</f>
        <v>0.24931506849315069</v>
      </c>
      <c r="J9" s="80" t="str">
        <f>data!O114</f>
        <v>EURAB6E3Y=</v>
      </c>
      <c r="K9" s="80" t="str">
        <f>TRIM(data!P114)</f>
        <v>3Y</v>
      </c>
      <c r="W9" s="6" t="s">
        <v>1252</v>
      </c>
      <c r="X9" s="97" cm="1">
        <f t="array" ref="X9">_xll.RDP.Data(Y5,Z4)/100</f>
        <v>2.9776129999999998E-2</v>
      </c>
    </row>
    <row r="10" spans="1:26" x14ac:dyDescent="0.35">
      <c r="A10" s="60" t="s">
        <v>73</v>
      </c>
      <c r="B10" s="66" t="str">
        <f>data!P11</f>
        <v>EUR_AB6E</v>
      </c>
      <c r="D10" s="79"/>
      <c r="E10" s="61" t="str">
        <f>IFERROR(IF(data!O26=0,"",data!O26),"")</f>
        <v/>
      </c>
      <c r="G10" s="61">
        <f>IFERROR(IF(data!O68=0,"",data!O68),"")</f>
        <v>46405.583333333336</v>
      </c>
      <c r="H10" s="79">
        <f>IFERROR(IF(data!P68=0,"",data!P68),"")</f>
        <v>0.24931506849315069</v>
      </c>
      <c r="J10" s="80" t="str">
        <f>data!O115</f>
        <v>EURAB6E4Y=</v>
      </c>
      <c r="K10" s="80" t="str">
        <f>TRIM(data!P115)</f>
        <v>4Y</v>
      </c>
      <c r="S10" s="110" t="s">
        <v>1253</v>
      </c>
      <c r="T10" s="110"/>
      <c r="U10" s="110" t="s">
        <v>1254</v>
      </c>
      <c r="V10" s="110"/>
    </row>
    <row r="11" spans="1:26" x14ac:dyDescent="0.35">
      <c r="A11" s="60" t="s">
        <v>13</v>
      </c>
      <c r="B11" s="66" t="str">
        <f>data!P12</f>
        <v>4Y</v>
      </c>
      <c r="D11" s="79"/>
      <c r="E11" s="61" t="str">
        <f>IFERROR(IF(data!O27=0,"",data!O27),"")</f>
        <v/>
      </c>
      <c r="G11" s="61">
        <f>IFERROR(IF(data!O69=0,"",data!O69),"")</f>
        <v>46496.625</v>
      </c>
      <c r="H11" s="79">
        <f>IFERROR(IF(data!P69=0,"",data!P69),"")</f>
        <v>0.24931506849315069</v>
      </c>
      <c r="J11" s="80" t="str">
        <f>data!O116</f>
        <v>EURAB6E5Y=</v>
      </c>
      <c r="K11" s="80" t="str">
        <f>TRIM(data!P116)</f>
        <v>5Y</v>
      </c>
      <c r="O11" s="6" t="s">
        <v>1255</v>
      </c>
      <c r="P11" s="6" t="s">
        <v>1243</v>
      </c>
      <c r="Q11" s="6" t="s">
        <v>1244</v>
      </c>
      <c r="R11" s="6" t="s">
        <v>1243</v>
      </c>
      <c r="S11" s="6" t="s">
        <v>1256</v>
      </c>
      <c r="T11" s="6" t="s">
        <v>1257</v>
      </c>
      <c r="U11" s="6" t="s">
        <v>1256</v>
      </c>
      <c r="V11" s="6" t="s">
        <v>1257</v>
      </c>
      <c r="W11" s="6" t="s">
        <v>1258</v>
      </c>
    </row>
    <row r="12" spans="1:26" x14ac:dyDescent="0.35">
      <c r="A12" s="67" t="s">
        <v>73</v>
      </c>
      <c r="B12" s="69">
        <f>data!P13</f>
        <v>0</v>
      </c>
      <c r="D12" s="79"/>
      <c r="E12" s="61" t="str">
        <f>IFERROR(IF(data!O28=0,"",data!O28),"")</f>
        <v/>
      </c>
      <c r="G12" s="61">
        <f>IFERROR(IF(data!O70=0,"",data!O70),"")</f>
        <v>46587.625</v>
      </c>
      <c r="H12" s="79">
        <f>IFERROR(IF(data!P70=0,"",data!P70),"")</f>
        <v>0.24931506849315069</v>
      </c>
      <c r="J12" s="80" t="str">
        <f>data!O117</f>
        <v>EURAB6E6Y=</v>
      </c>
      <c r="K12" s="80" t="str">
        <f>TRIM(data!P117)</f>
        <v>6Y</v>
      </c>
      <c r="N12" s="96" t="s">
        <v>1259</v>
      </c>
      <c r="O12" s="94">
        <v>45675</v>
      </c>
      <c r="P12">
        <v>6</v>
      </c>
      <c r="Q12" s="94">
        <f>O12+2</f>
        <v>45677</v>
      </c>
      <c r="R12">
        <v>1</v>
      </c>
      <c r="S12">
        <f>Q12-Q7</f>
        <v>90</v>
      </c>
      <c r="U12">
        <f>S12/365</f>
        <v>0.24657534246575341</v>
      </c>
    </row>
    <row r="13" spans="1:26" x14ac:dyDescent="0.35">
      <c r="D13" s="79"/>
      <c r="E13" s="61" t="str">
        <f>IFERROR(IF(data!O29=0,"",data!O29),"")</f>
        <v/>
      </c>
      <c r="G13" s="61">
        <f>IFERROR(IF(data!O71=0,"",data!O71),"")</f>
        <v>46678.625</v>
      </c>
      <c r="H13" s="79">
        <f>IFERROR(IF(data!P71=0,"",data!P71),"")</f>
        <v>0.24931506849315069</v>
      </c>
      <c r="J13" s="80" t="str">
        <f>data!O118</f>
        <v>EURAB6E7Y=</v>
      </c>
      <c r="K13" s="80" t="str">
        <f>TRIM(data!P118)</f>
        <v>7Y</v>
      </c>
      <c r="O13" s="94">
        <v>45765</v>
      </c>
      <c r="P13">
        <v>5</v>
      </c>
      <c r="Q13" s="94">
        <f>O13</f>
        <v>45765</v>
      </c>
      <c r="R13">
        <f>P13</f>
        <v>5</v>
      </c>
      <c r="S13">
        <f>Q13-Q12</f>
        <v>88</v>
      </c>
      <c r="U13">
        <f t="shared" ref="U13:U19" si="0">S13/365</f>
        <v>0.24109589041095891</v>
      </c>
    </row>
    <row r="14" spans="1:26" x14ac:dyDescent="0.35">
      <c r="A14" s="77" t="s">
        <v>1260</v>
      </c>
      <c r="B14">
        <f>MATCH(B11,K2:K41,0)</f>
        <v>9</v>
      </c>
      <c r="D14" s="79"/>
      <c r="E14" s="61" t="str">
        <f>IFERROR(IF(data!O30=0,"",data!O30),"")</f>
        <v/>
      </c>
      <c r="G14" s="61" t="str">
        <f>IFERROR(IF(data!O72=0,"",data!O72),"")</f>
        <v/>
      </c>
      <c r="H14" s="79" t="str">
        <f>IFERROR(IF(data!P72=0,"",data!P72),"")</f>
        <v/>
      </c>
      <c r="J14" s="80" t="str">
        <f>data!O119</f>
        <v>EURAB6E8Y=</v>
      </c>
      <c r="K14" s="80" t="str">
        <f>TRIM(data!P119)</f>
        <v>8Y</v>
      </c>
      <c r="O14" s="94">
        <v>45856</v>
      </c>
      <c r="P14">
        <v>5</v>
      </c>
      <c r="Q14" s="94">
        <f>O14</f>
        <v>45856</v>
      </c>
      <c r="R14">
        <v>5</v>
      </c>
      <c r="S14">
        <f t="shared" ref="S14:S23" si="1">Q14-Q13</f>
        <v>91</v>
      </c>
      <c r="U14">
        <f t="shared" si="0"/>
        <v>0.24931506849315069</v>
      </c>
    </row>
    <row r="15" spans="1:26" x14ac:dyDescent="0.35">
      <c r="A15" s="77" t="s">
        <v>25</v>
      </c>
      <c r="B15" s="12" t="str">
        <f ca="1">OFFSET(J2,B14-1,0)</f>
        <v>EURAB6E4Y=</v>
      </c>
      <c r="D15" s="79"/>
      <c r="E15" s="61" t="str">
        <f>IFERROR(IF(data!O31=0,"",data!O31),"")</f>
        <v/>
      </c>
      <c r="G15" s="61" t="str">
        <f>IFERROR(IF(data!O73=0,"",data!O73),"")</f>
        <v/>
      </c>
      <c r="H15" s="79" t="str">
        <f>IFERROR(IF(data!P73=0,"",data!P73),"")</f>
        <v/>
      </c>
      <c r="J15" s="80" t="str">
        <f>data!O120</f>
        <v>EURAB6E9Y=</v>
      </c>
      <c r="K15" s="80" t="str">
        <f>TRIM(data!P120)</f>
        <v>9Y</v>
      </c>
      <c r="O15" s="94">
        <v>45948</v>
      </c>
      <c r="P15">
        <v>6</v>
      </c>
      <c r="Q15" s="94">
        <f>O15+2</f>
        <v>45950</v>
      </c>
      <c r="R15">
        <v>1</v>
      </c>
      <c r="S15">
        <f t="shared" si="1"/>
        <v>94</v>
      </c>
      <c r="T15">
        <f>8+11*30+20</f>
        <v>358</v>
      </c>
      <c r="U15">
        <f t="shared" si="0"/>
        <v>0.25753424657534246</v>
      </c>
      <c r="V15">
        <f>T15/360</f>
        <v>0.99444444444444446</v>
      </c>
      <c r="W15">
        <f>V15*$X$9*$X$8</f>
        <v>2.9610707055555552</v>
      </c>
    </row>
    <row r="16" spans="1:26" x14ac:dyDescent="0.35">
      <c r="A16" s="77"/>
      <c r="C16" s="23"/>
      <c r="D16" s="79"/>
      <c r="E16" s="61" t="str">
        <f>IFERROR(IF(data!O32=0,"",data!O32),"")</f>
        <v/>
      </c>
      <c r="G16" s="61" t="str">
        <f>IFERROR(IF(data!O74=0,"",data!O74),"")</f>
        <v/>
      </c>
      <c r="H16" s="79" t="str">
        <f>IFERROR(IF(data!P74=0,"",data!P74),"")</f>
        <v/>
      </c>
      <c r="J16" s="80" t="str">
        <f>data!O121</f>
        <v>EURAB6E10Y=</v>
      </c>
      <c r="K16" s="80" t="str">
        <f>TRIM(data!P121)</f>
        <v>10Y</v>
      </c>
      <c r="O16" s="94">
        <v>46040</v>
      </c>
      <c r="P16">
        <v>7</v>
      </c>
      <c r="Q16" s="94">
        <f>O16+1</f>
        <v>46041</v>
      </c>
      <c r="R16">
        <v>1</v>
      </c>
      <c r="S16">
        <f t="shared" si="1"/>
        <v>91</v>
      </c>
      <c r="U16">
        <f t="shared" si="0"/>
        <v>0.24931506849315069</v>
      </c>
    </row>
    <row r="17" spans="2:23" x14ac:dyDescent="0.35">
      <c r="B17" s="70"/>
      <c r="C17" t="str">
        <f t="shared" ref="C17:C42" si="2">IF(ISNUMBER(E63),"T" &amp; (ROW()-1) &amp; ":","")</f>
        <v/>
      </c>
      <c r="D17" s="79"/>
      <c r="E17" s="61" t="str">
        <f>IFERROR(IF(data!O33=0,"",data!O33),"")</f>
        <v/>
      </c>
      <c r="G17" s="61" t="str">
        <f>IFERROR(IF(data!O75=0,"",data!O75),"")</f>
        <v/>
      </c>
      <c r="H17" s="79" t="str">
        <f>IFERROR(IF(data!P75=0,"",data!P75),"")</f>
        <v/>
      </c>
      <c r="J17" s="80" t="str">
        <f>data!O122</f>
        <v>EURAB6E11Y=</v>
      </c>
      <c r="K17" s="80" t="str">
        <f>TRIM(data!P122)</f>
        <v>11Y</v>
      </c>
      <c r="O17" s="94">
        <v>46130</v>
      </c>
      <c r="P17">
        <v>6</v>
      </c>
      <c r="Q17" s="94">
        <f>O17+2</f>
        <v>46132</v>
      </c>
      <c r="R17">
        <v>1</v>
      </c>
      <c r="S17">
        <f t="shared" si="1"/>
        <v>91</v>
      </c>
      <c r="U17">
        <f t="shared" si="0"/>
        <v>0.24931506849315069</v>
      </c>
    </row>
    <row r="18" spans="2:23" x14ac:dyDescent="0.35">
      <c r="B18" s="70"/>
      <c r="C18" t="str">
        <f t="shared" si="2"/>
        <v/>
      </c>
      <c r="D18" s="79"/>
      <c r="E18" s="61" t="str">
        <f>IFERROR(IF(data!O34=0,"",data!O34),"")</f>
        <v/>
      </c>
      <c r="G18" s="61" t="str">
        <f>IFERROR(IF(data!O76=0,"",data!O76),"")</f>
        <v/>
      </c>
      <c r="H18" s="79" t="str">
        <f>IFERROR(IF(data!P76=0,"",data!P76),"")</f>
        <v/>
      </c>
      <c r="J18" s="80" t="str">
        <f>data!O123</f>
        <v>EURAB6E12Y=</v>
      </c>
      <c r="K18" s="80" t="str">
        <f>TRIM(data!P123)</f>
        <v>12Y</v>
      </c>
      <c r="O18" s="94">
        <v>46221</v>
      </c>
      <c r="P18">
        <v>6</v>
      </c>
      <c r="Q18" s="94">
        <f>O18+2</f>
        <v>46223</v>
      </c>
      <c r="R18">
        <v>1</v>
      </c>
      <c r="S18">
        <f t="shared" si="1"/>
        <v>91</v>
      </c>
      <c r="U18">
        <f t="shared" si="0"/>
        <v>0.24931506849315069</v>
      </c>
    </row>
    <row r="19" spans="2:23" x14ac:dyDescent="0.35">
      <c r="B19" s="70"/>
      <c r="C19" t="str">
        <f t="shared" si="2"/>
        <v/>
      </c>
      <c r="D19" s="79"/>
      <c r="E19" s="61" t="str">
        <f>IFERROR(IF(data!O35=0,"",data!O35),"")</f>
        <v/>
      </c>
      <c r="G19" s="61" t="str">
        <f>IFERROR(IF(data!O77=0,"",data!O77),"")</f>
        <v/>
      </c>
      <c r="H19" s="79" t="str">
        <f>IFERROR(IF(data!P77=0,"",data!P77),"")</f>
        <v/>
      </c>
      <c r="J19" s="80" t="str">
        <f>data!O124</f>
        <v>EURAB6E13Y=</v>
      </c>
      <c r="K19" s="80" t="str">
        <f>TRIM(data!P124)</f>
        <v>13Y</v>
      </c>
      <c r="O19" s="94">
        <v>46313</v>
      </c>
      <c r="P19">
        <v>7</v>
      </c>
      <c r="Q19" s="94">
        <f>O19+1</f>
        <v>46314</v>
      </c>
      <c r="R19">
        <v>1</v>
      </c>
      <c r="S19">
        <f t="shared" si="1"/>
        <v>91</v>
      </c>
      <c r="T19">
        <f>20+11*30+10</f>
        <v>360</v>
      </c>
      <c r="U19">
        <f t="shared" si="0"/>
        <v>0.24931506849315069</v>
      </c>
      <c r="V19">
        <f>T19/360</f>
        <v>1</v>
      </c>
      <c r="W19">
        <f t="shared" ref="W19" si="3">V19*$X$9*$X$8</f>
        <v>2.9776129999999998</v>
      </c>
    </row>
    <row r="20" spans="2:23" x14ac:dyDescent="0.35">
      <c r="B20" s="70"/>
      <c r="C20" t="str">
        <f t="shared" si="2"/>
        <v/>
      </c>
      <c r="D20" s="79"/>
      <c r="E20" s="61" t="str">
        <f>IFERROR(IF(data!O36=0,"",data!O36),"")</f>
        <v/>
      </c>
      <c r="G20" s="61" t="str">
        <f>IFERROR(IF(data!O78=0,"",data!O78),"")</f>
        <v/>
      </c>
      <c r="H20" s="79" t="str">
        <f>IFERROR(IF(data!P78=0,"",data!P78),"")</f>
        <v/>
      </c>
      <c r="J20" s="80" t="str">
        <f>data!O125</f>
        <v>EURAB6E14Y=</v>
      </c>
      <c r="K20" s="80" t="str">
        <f>TRIM(data!P125)</f>
        <v>14Y</v>
      </c>
      <c r="O20" s="94">
        <v>46405</v>
      </c>
      <c r="P20">
        <v>1</v>
      </c>
      <c r="Q20" s="94">
        <f>O20</f>
        <v>46405</v>
      </c>
      <c r="R20">
        <v>1</v>
      </c>
      <c r="S20">
        <f t="shared" si="1"/>
        <v>91</v>
      </c>
      <c r="U20">
        <f t="shared" ref="U20:U23" si="4">S20/365</f>
        <v>0.24931506849315069</v>
      </c>
    </row>
    <row r="21" spans="2:23" x14ac:dyDescent="0.35">
      <c r="B21" s="70"/>
      <c r="C21" t="str">
        <f t="shared" si="2"/>
        <v/>
      </c>
      <c r="D21" s="79"/>
      <c r="E21" s="61" t="str">
        <f>IFERROR(IF(data!O37=0,"",data!O37),"")</f>
        <v/>
      </c>
      <c r="G21" s="61" t="str">
        <f>IFERROR(IF(data!O79=0,"",data!O79),"")</f>
        <v/>
      </c>
      <c r="H21" s="79" t="str">
        <f>IFERROR(IF(data!P79=0,"",data!P79),"")</f>
        <v/>
      </c>
      <c r="J21" s="80" t="str">
        <f>data!O126</f>
        <v>EURAB6E15Y=</v>
      </c>
      <c r="K21" s="80" t="str">
        <f>TRIM(data!P126)</f>
        <v>15Y</v>
      </c>
      <c r="O21" s="94">
        <v>46495</v>
      </c>
      <c r="P21">
        <v>7</v>
      </c>
      <c r="Q21" s="94">
        <f>O21+1</f>
        <v>46496</v>
      </c>
      <c r="R21">
        <v>1</v>
      </c>
      <c r="S21">
        <f t="shared" si="1"/>
        <v>91</v>
      </c>
      <c r="T21" s="99"/>
      <c r="U21">
        <f t="shared" si="4"/>
        <v>0.24931506849315069</v>
      </c>
    </row>
    <row r="22" spans="2:23" x14ac:dyDescent="0.35">
      <c r="B22" s="70"/>
      <c r="C22" t="str">
        <f t="shared" si="2"/>
        <v/>
      </c>
      <c r="D22" s="79"/>
      <c r="E22" s="61" t="str">
        <f>IFERROR(IF(data!O38=0,"",data!O38),"")</f>
        <v/>
      </c>
      <c r="G22" s="61" t="str">
        <f>IFERROR(IF(data!O80=0,"",data!O80),"")</f>
        <v/>
      </c>
      <c r="H22" s="79" t="str">
        <f>IFERROR(IF(data!P80=0,"",data!P80),"")</f>
        <v/>
      </c>
      <c r="J22" s="80" t="str">
        <f>data!O127</f>
        <v>EURAB6E16Y=</v>
      </c>
      <c r="K22" s="80" t="str">
        <f>TRIM(data!P127)</f>
        <v>16Y</v>
      </c>
      <c r="O22" s="94">
        <v>46586</v>
      </c>
      <c r="P22">
        <v>7</v>
      </c>
      <c r="Q22" s="94">
        <f>O22+1</f>
        <v>46587</v>
      </c>
      <c r="R22">
        <v>1</v>
      </c>
      <c r="S22">
        <f t="shared" si="1"/>
        <v>91</v>
      </c>
      <c r="T22" s="6"/>
      <c r="U22">
        <f t="shared" si="4"/>
        <v>0.24931506849315069</v>
      </c>
    </row>
    <row r="23" spans="2:23" x14ac:dyDescent="0.35">
      <c r="B23" s="70"/>
      <c r="C23" t="str">
        <f t="shared" si="2"/>
        <v/>
      </c>
      <c r="D23" s="79"/>
      <c r="E23" s="61" t="str">
        <f>IFERROR(IF(data!O39=0,"",data!O39),"")</f>
        <v/>
      </c>
      <c r="G23" s="61" t="str">
        <f>IFERROR(IF(data!O81=0,"",data!O81),"")</f>
        <v/>
      </c>
      <c r="H23" s="79" t="str">
        <f>IFERROR(IF(data!P81=0,"",data!P81),"")</f>
        <v/>
      </c>
      <c r="J23" s="80" t="str">
        <f>data!O128</f>
        <v>EURAB6E17Y=</v>
      </c>
      <c r="K23" s="80" t="str">
        <f>TRIM(data!P128)</f>
        <v>17Y</v>
      </c>
      <c r="O23" s="94">
        <v>46678</v>
      </c>
      <c r="P23">
        <v>1</v>
      </c>
      <c r="Q23" s="94">
        <f>O23</f>
        <v>46678</v>
      </c>
      <c r="R23">
        <v>1</v>
      </c>
      <c r="S23">
        <f t="shared" si="1"/>
        <v>91</v>
      </c>
      <c r="T23">
        <v>360</v>
      </c>
      <c r="U23">
        <f t="shared" si="4"/>
        <v>0.24931506849315069</v>
      </c>
      <c r="V23">
        <f t="shared" ref="V23" si="5">T23/360</f>
        <v>1</v>
      </c>
      <c r="W23">
        <f t="shared" ref="W23" si="6">V23*$X$9*$X$8</f>
        <v>2.9776129999999998</v>
      </c>
    </row>
    <row r="24" spans="2:23" x14ac:dyDescent="0.35">
      <c r="B24" s="70"/>
      <c r="C24" t="str">
        <f t="shared" si="2"/>
        <v/>
      </c>
      <c r="D24" s="79"/>
      <c r="E24" s="61" t="str">
        <f>IFERROR(IF(data!O40=0,"",data!O40),"")</f>
        <v/>
      </c>
      <c r="G24" s="61" t="str">
        <f>IFERROR(IF(data!O82=0,"",data!O82),"")</f>
        <v/>
      </c>
      <c r="H24" s="79" t="str">
        <f>IFERROR(IF(data!P82=0,"",data!P82),"")</f>
        <v/>
      </c>
      <c r="J24" s="80" t="str">
        <f>data!O129</f>
        <v>EURAB6E18Y=</v>
      </c>
      <c r="K24" s="80" t="str">
        <f>TRIM(data!P129)</f>
        <v>18Y</v>
      </c>
      <c r="O24" s="94"/>
    </row>
    <row r="25" spans="2:23" x14ac:dyDescent="0.35">
      <c r="B25" s="70"/>
      <c r="C25" t="str">
        <f t="shared" si="2"/>
        <v/>
      </c>
      <c r="D25" s="79"/>
      <c r="E25" s="61" t="str">
        <f>IFERROR(IF(data!O41=0,"",data!O41),"")</f>
        <v/>
      </c>
      <c r="G25" s="61" t="str">
        <f>IFERROR(IF(data!O83=0,"",data!O83),"")</f>
        <v/>
      </c>
      <c r="H25" s="79" t="str">
        <f>IFERROR(IF(data!P83=0,"",data!P83),"")</f>
        <v/>
      </c>
      <c r="J25" s="80" t="str">
        <f>data!O130</f>
        <v>EURAB6E19Y=</v>
      </c>
      <c r="K25" s="80" t="str">
        <f>TRIM(data!P130)</f>
        <v>19Y</v>
      </c>
      <c r="N25" s="98" t="s">
        <v>1261</v>
      </c>
      <c r="R25" s="111" t="s">
        <v>1262</v>
      </c>
      <c r="S25" s="111"/>
    </row>
    <row r="26" spans="2:23" x14ac:dyDescent="0.35">
      <c r="B26" s="70"/>
      <c r="C26" t="str">
        <f t="shared" si="2"/>
        <v/>
      </c>
      <c r="D26" s="79"/>
      <c r="E26" s="61" t="str">
        <f>IFERROR(IF(data!O42=0,"",data!O42),"")</f>
        <v/>
      </c>
      <c r="G26" s="61" t="str">
        <f>IFERROR(IF(data!O84=0,"",data!O84),"")</f>
        <v/>
      </c>
      <c r="H26" s="79" t="str">
        <f>IFERROR(IF(data!P84=0,"",data!P84),"")</f>
        <v/>
      </c>
      <c r="J26" s="80" t="str">
        <f>data!O131</f>
        <v>EURAB6E20Y=</v>
      </c>
      <c r="K26" s="80" t="str">
        <f>TRIM(data!P131)</f>
        <v>20Y</v>
      </c>
      <c r="N26" s="98" t="s">
        <v>1263</v>
      </c>
      <c r="O26" s="6" t="s">
        <v>1264</v>
      </c>
      <c r="P26" s="6" t="s">
        <v>1265</v>
      </c>
      <c r="R26" s="6" t="s">
        <v>1266</v>
      </c>
      <c r="S26" s="6" t="s">
        <v>1267</v>
      </c>
      <c r="T26" s="6" t="s">
        <v>1268</v>
      </c>
    </row>
    <row r="27" spans="2:23" x14ac:dyDescent="0.35">
      <c r="B27" s="70"/>
      <c r="C27" t="str">
        <f t="shared" si="2"/>
        <v/>
      </c>
      <c r="D27" s="79"/>
      <c r="E27" s="61" t="str">
        <f>IFERROR(IF(data!O43=0,"",data!O43),"")</f>
        <v/>
      </c>
      <c r="G27" s="61" t="str">
        <f>IFERROR(IF(data!O85=0,"",data!O85),"")</f>
        <v/>
      </c>
      <c r="H27" s="79" t="str">
        <f>IFERROR(IF(data!P85=0,"",data!P85),"")</f>
        <v/>
      </c>
      <c r="J27" s="80" t="str">
        <f>data!O132</f>
        <v>EURAB6E21Y=</v>
      </c>
      <c r="K27" s="80" t="str">
        <f>TRIM(data!P132)</f>
        <v>21Y</v>
      </c>
      <c r="N27" s="94">
        <v>45677</v>
      </c>
      <c r="O27">
        <f>realTime!$W$29*IRS!S12/365</f>
        <v>0.74663013698630132</v>
      </c>
      <c r="R27">
        <f>X8*(1+X9*U12)</f>
        <v>100.73420594520547</v>
      </c>
      <c r="T27">
        <v>0.99202769800000001</v>
      </c>
    </row>
    <row r="28" spans="2:23" x14ac:dyDescent="0.35">
      <c r="B28" s="70"/>
      <c r="C28" t="str">
        <f t="shared" si="2"/>
        <v/>
      </c>
      <c r="D28" s="79"/>
      <c r="E28" s="61" t="str">
        <f>IFERROR(IF(data!O44=0,"",data!O44),"")</f>
        <v/>
      </c>
      <c r="G28" s="61" t="str">
        <f>IFERROR(IF(data!O86=0,"",data!O86),"")</f>
        <v/>
      </c>
      <c r="H28" s="79" t="str">
        <f>IFERROR(IF(data!P86=0,"",data!P86),"")</f>
        <v/>
      </c>
      <c r="J28" s="80" t="str">
        <f>data!O133</f>
        <v>EURAB6E22Y=</v>
      </c>
      <c r="K28" s="80" t="str">
        <f>TRIM(data!P133)</f>
        <v>22Y</v>
      </c>
      <c r="N28" s="94">
        <v>45765</v>
      </c>
      <c r="O28">
        <f>realTime!$W$29*IRS!S13/365</f>
        <v>0.73003835616438351</v>
      </c>
      <c r="T28">
        <v>0.98580100199999998</v>
      </c>
    </row>
    <row r="29" spans="2:23" x14ac:dyDescent="0.35">
      <c r="B29" s="70"/>
      <c r="C29" t="str">
        <f t="shared" si="2"/>
        <v/>
      </c>
      <c r="D29" s="79"/>
      <c r="E29" s="61" t="str">
        <f>IFERROR(IF(data!O45=0,"",data!O45),"")</f>
        <v/>
      </c>
      <c r="G29" s="61" t="str">
        <f>IFERROR(IF(data!O87=0,"",data!O87),"")</f>
        <v/>
      </c>
      <c r="H29" s="79" t="str">
        <f>IFERROR(IF(data!P87=0,"",data!P87),"")</f>
        <v/>
      </c>
      <c r="J29" s="80" t="str">
        <f>data!O134</f>
        <v>EURAB6E23Y=</v>
      </c>
      <c r="K29" s="80" t="str">
        <f>TRIM(data!P134)</f>
        <v>23Y</v>
      </c>
      <c r="N29" s="94">
        <v>45856</v>
      </c>
      <c r="O29">
        <f>realTime!$W$29*IRS!S14/365</f>
        <v>0.75492602739726022</v>
      </c>
      <c r="T29">
        <v>0.98014655399999995</v>
      </c>
    </row>
    <row r="30" spans="2:23" x14ac:dyDescent="0.35">
      <c r="B30" s="70"/>
      <c r="C30" t="str">
        <f t="shared" si="2"/>
        <v/>
      </c>
      <c r="D30" s="79"/>
      <c r="E30" s="61" t="str">
        <f>IFERROR(IF(data!O46=0,"",data!O46),"")</f>
        <v/>
      </c>
      <c r="G30" s="61" t="str">
        <f>IFERROR(IF(data!O88=0,"",data!O88),"")</f>
        <v/>
      </c>
      <c r="H30" s="79" t="str">
        <f>IFERROR(IF(data!P88=0,"",data!P88),"")</f>
        <v/>
      </c>
      <c r="J30" s="80" t="str">
        <f>data!O135</f>
        <v>EURAB6E24Y=</v>
      </c>
      <c r="K30" s="80" t="str">
        <f>TRIM(data!P135)</f>
        <v>24Y</v>
      </c>
      <c r="N30" s="94">
        <v>45950</v>
      </c>
      <c r="O30">
        <f>realTime!$W$29*IRS!S15/365</f>
        <v>0.77981369863013705</v>
      </c>
      <c r="P30">
        <f>S30</f>
        <v>2.9610707055555552</v>
      </c>
      <c r="S30">
        <f>W15</f>
        <v>2.9610707055555552</v>
      </c>
      <c r="T30">
        <v>0.97541551000000004</v>
      </c>
    </row>
    <row r="31" spans="2:23" x14ac:dyDescent="0.35">
      <c r="B31" s="70"/>
      <c r="C31" t="str">
        <f t="shared" si="2"/>
        <v/>
      </c>
      <c r="D31" s="79"/>
      <c r="E31" s="61" t="str">
        <f>IFERROR(IF(data!O47=0,"",data!O47),"")</f>
        <v/>
      </c>
      <c r="G31" s="61" t="str">
        <f>IFERROR(IF(data!O89=0,"",data!O89),"")</f>
        <v/>
      </c>
      <c r="H31" s="79" t="str">
        <f>IFERROR(IF(data!P89=0,"",data!P89),"")</f>
        <v/>
      </c>
      <c r="J31" s="80" t="str">
        <f>data!O136</f>
        <v>EURAB6E25Y=</v>
      </c>
      <c r="K31" s="80" t="str">
        <f>TRIM(data!P136)</f>
        <v>25Y</v>
      </c>
      <c r="N31" s="94">
        <v>46041</v>
      </c>
      <c r="O31">
        <f>realTime!$W$29*IRS!S16/365</f>
        <v>0.75492602739726022</v>
      </c>
      <c r="T31">
        <v>0.97060566299999995</v>
      </c>
    </row>
    <row r="32" spans="2:23" x14ac:dyDescent="0.35">
      <c r="B32" s="70"/>
      <c r="C32" t="str">
        <f t="shared" si="2"/>
        <v/>
      </c>
      <c r="D32" s="79"/>
      <c r="E32" s="61" t="str">
        <f>IFERROR(IF(data!O48=0,"",data!O48),"")</f>
        <v/>
      </c>
      <c r="G32" s="61" t="str">
        <f>IFERROR(IF(data!O90=0,"",data!O90),"")</f>
        <v/>
      </c>
      <c r="H32" s="79" t="str">
        <f>IFERROR(IF(data!P90=0,"",data!P90),"")</f>
        <v/>
      </c>
      <c r="J32" s="80" t="str">
        <f>data!O137</f>
        <v>EURAB6E26Y=</v>
      </c>
      <c r="K32" s="80" t="str">
        <f>TRIM(data!P137)</f>
        <v>26Y</v>
      </c>
      <c r="N32" s="94">
        <v>46132</v>
      </c>
      <c r="O32">
        <f>realTime!$W$29*IRS!S17/365</f>
        <v>0.75492602739726022</v>
      </c>
      <c r="T32">
        <v>0.96600112000000005</v>
      </c>
    </row>
    <row r="33" spans="2:20" x14ac:dyDescent="0.35">
      <c r="B33" s="70"/>
      <c r="C33" t="str">
        <f t="shared" si="2"/>
        <v/>
      </c>
      <c r="D33" s="79"/>
      <c r="E33" s="61" t="str">
        <f>IFERROR(IF(data!O49=0,"",data!O49),"")</f>
        <v/>
      </c>
      <c r="G33" s="61" t="str">
        <f>IFERROR(IF(data!O91=0,"",data!O91),"")</f>
        <v/>
      </c>
      <c r="H33" s="79" t="str">
        <f>IFERROR(IF(data!P91=0,"",data!P91),"")</f>
        <v/>
      </c>
      <c r="J33" s="80" t="str">
        <f>data!O138</f>
        <v>EURAB6E27Y=</v>
      </c>
      <c r="K33" s="80" t="str">
        <f>TRIM(data!P138)</f>
        <v>27Y</v>
      </c>
      <c r="N33" s="94">
        <v>46223</v>
      </c>
      <c r="O33">
        <f>realTime!$W$29*IRS!S18/365</f>
        <v>0.75492602739726022</v>
      </c>
      <c r="T33">
        <v>0.96101283800000004</v>
      </c>
    </row>
    <row r="34" spans="2:20" x14ac:dyDescent="0.35">
      <c r="B34" s="70"/>
      <c r="C34" t="str">
        <f t="shared" si="2"/>
        <v/>
      </c>
      <c r="D34" s="79"/>
      <c r="E34" s="61" t="str">
        <f>IFERROR(IF(data!O50=0,"",data!O50),"")</f>
        <v/>
      </c>
      <c r="G34" s="61" t="str">
        <f>IFERROR(IF(data!O92=0,"",data!O92),"")</f>
        <v/>
      </c>
      <c r="H34" s="79" t="str">
        <f>IFERROR(IF(data!P92=0,"",data!P92),"")</f>
        <v/>
      </c>
      <c r="J34" s="80" t="str">
        <f>data!O139</f>
        <v>EURAB6E28Y=</v>
      </c>
      <c r="K34" s="80" t="str">
        <f>TRIM(data!P139)</f>
        <v>28Y</v>
      </c>
      <c r="N34" s="94">
        <v>46314</v>
      </c>
      <c r="O34">
        <f>realTime!$W$29*IRS!S19/365</f>
        <v>0.75492602739726022</v>
      </c>
      <c r="P34">
        <f>S34</f>
        <v>2.9776129999999998</v>
      </c>
      <c r="S34">
        <f>W19</f>
        <v>2.9776129999999998</v>
      </c>
      <c r="T34">
        <v>0.95584493299999995</v>
      </c>
    </row>
    <row r="35" spans="2:20" x14ac:dyDescent="0.35">
      <c r="B35" s="70"/>
      <c r="C35" t="str">
        <f t="shared" si="2"/>
        <v/>
      </c>
      <c r="D35" s="79"/>
      <c r="E35" s="61" t="str">
        <f>IFERROR(IF(data!O51=0,"",data!O51),"")</f>
        <v/>
      </c>
      <c r="G35" s="61" t="str">
        <f>IFERROR(IF(data!O93=0,"",data!O93),"")</f>
        <v/>
      </c>
      <c r="H35" s="79" t="str">
        <f>IFERROR(IF(data!P93=0,"",data!P93),"")</f>
        <v/>
      </c>
      <c r="J35" s="80" t="str">
        <f>data!O140</f>
        <v>EURAB6E29Y=</v>
      </c>
      <c r="K35" s="80" t="str">
        <f>TRIM(data!P140)</f>
        <v>29Y</v>
      </c>
      <c r="N35" s="94">
        <v>46405</v>
      </c>
      <c r="O35">
        <f>realTime!$W$29*IRS!S20/365</f>
        <v>0.75492602739726022</v>
      </c>
      <c r="T35">
        <v>0.95065900000000003</v>
      </c>
    </row>
    <row r="36" spans="2:20" x14ac:dyDescent="0.35">
      <c r="B36" s="70"/>
      <c r="C36" t="str">
        <f t="shared" si="2"/>
        <v/>
      </c>
      <c r="D36" s="79"/>
      <c r="E36" s="61" t="str">
        <f>IFERROR(IF(data!O52=0,"",data!O52),"")</f>
        <v/>
      </c>
      <c r="G36" s="61" t="str">
        <f>IFERROR(IF(data!O94=0,"",data!O94),"")</f>
        <v/>
      </c>
      <c r="H36" s="79" t="str">
        <f>IFERROR(IF(data!P94=0,"",data!P94),"")</f>
        <v/>
      </c>
      <c r="J36" s="80" t="str">
        <f>data!O141</f>
        <v>EURAB6E30Y=</v>
      </c>
      <c r="K36" s="80" t="str">
        <f>TRIM(data!P141)</f>
        <v>30Y</v>
      </c>
      <c r="N36" s="94">
        <v>46496</v>
      </c>
      <c r="O36">
        <f>realTime!$W$29*IRS!S21/365</f>
        <v>0.75492602739726022</v>
      </c>
      <c r="T36">
        <v>0.94564794699999999</v>
      </c>
    </row>
    <row r="37" spans="2:20" x14ac:dyDescent="0.35">
      <c r="B37" s="70"/>
      <c r="C37" t="str">
        <f t="shared" si="2"/>
        <v/>
      </c>
      <c r="D37" s="79"/>
      <c r="E37" s="61" t="str">
        <f>IFERROR(IF(data!O53=0,"",data!O53),"")</f>
        <v/>
      </c>
      <c r="G37" s="61" t="str">
        <f>IFERROR(IF(data!O95=0,"",data!O95),"")</f>
        <v/>
      </c>
      <c r="H37" s="79" t="str">
        <f>IFERROR(IF(data!P95=0,"",data!P95),"")</f>
        <v/>
      </c>
      <c r="J37" s="80" t="str">
        <f>data!O142</f>
        <v>EURAB6E40Y=</v>
      </c>
      <c r="K37" s="80" t="str">
        <f>TRIM(data!P142)</f>
        <v>40Y</v>
      </c>
      <c r="N37" s="94">
        <v>46587</v>
      </c>
      <c r="O37">
        <f>realTime!$W$29*IRS!S22/365</f>
        <v>0.75492602739726022</v>
      </c>
      <c r="T37">
        <v>0.94046347699999999</v>
      </c>
    </row>
    <row r="38" spans="2:20" x14ac:dyDescent="0.35">
      <c r="B38" s="70"/>
      <c r="C38" t="str">
        <f t="shared" si="2"/>
        <v/>
      </c>
      <c r="D38" s="79"/>
      <c r="E38" s="61" t="str">
        <f>IFERROR(IF(data!O54=0,"",data!O54),"")</f>
        <v/>
      </c>
      <c r="G38" s="61" t="str">
        <f>IFERROR(IF(data!O96=0,"",data!O96),"")</f>
        <v/>
      </c>
      <c r="H38" s="79" t="str">
        <f>IFERROR(IF(data!P96=0,"",data!P96),"")</f>
        <v/>
      </c>
      <c r="J38" s="80" t="str">
        <f>data!O143</f>
        <v>EURAB6E50Y=</v>
      </c>
      <c r="K38" s="80" t="str">
        <f>TRIM(data!P143)</f>
        <v>50Y</v>
      </c>
      <c r="N38" s="94">
        <v>46678</v>
      </c>
      <c r="O38">
        <f>realTime!$W$29*IRS!S23/365</f>
        <v>0.75492602739726022</v>
      </c>
      <c r="P38">
        <f>S38</f>
        <v>102.97761300000001</v>
      </c>
      <c r="S38">
        <f>W23+X8</f>
        <v>102.97761300000001</v>
      </c>
      <c r="T38">
        <v>0.93526378600000004</v>
      </c>
    </row>
    <row r="39" spans="2:20" x14ac:dyDescent="0.35">
      <c r="B39" s="70"/>
      <c r="C39" t="str">
        <f t="shared" si="2"/>
        <v/>
      </c>
      <c r="D39" s="79"/>
      <c r="E39" s="61" t="str">
        <f>IFERROR(IF(data!O55=0,"",data!O55),"")</f>
        <v/>
      </c>
      <c r="G39" s="61" t="str">
        <f>IFERROR(IF(data!O97=0,"",data!O97),"")</f>
        <v/>
      </c>
      <c r="H39" s="79" t="str">
        <f>IFERROR(IF(data!P97=0,"",data!P97),"")</f>
        <v/>
      </c>
      <c r="J39" s="80">
        <f>data!O144</f>
        <v>0</v>
      </c>
      <c r="K39" s="80" t="str">
        <f>TRIM(data!P144)</f>
        <v/>
      </c>
    </row>
    <row r="40" spans="2:20" x14ac:dyDescent="0.35">
      <c r="B40" s="70"/>
      <c r="C40" t="str">
        <f t="shared" si="2"/>
        <v/>
      </c>
      <c r="D40" s="79"/>
      <c r="E40" s="61" t="str">
        <f>IFERROR(IF(data!O56=0,"",data!O56),"")</f>
        <v/>
      </c>
      <c r="G40" s="61" t="str">
        <f>IFERROR(IF(data!O98=0,"",data!O98),"")</f>
        <v/>
      </c>
      <c r="H40" s="79" t="str">
        <f>IFERROR(IF(data!P98=0,"",data!P98),"")</f>
        <v/>
      </c>
      <c r="J40" s="80">
        <f>data!O145</f>
        <v>0</v>
      </c>
      <c r="K40" s="80" t="str">
        <f>TRIM(data!P145)</f>
        <v/>
      </c>
      <c r="O40" t="s">
        <v>1269</v>
      </c>
      <c r="P40">
        <v>100</v>
      </c>
      <c r="Q40" t="s">
        <v>1270</v>
      </c>
      <c r="R40">
        <f>R27*T27</f>
        <v>99.931122433680102</v>
      </c>
      <c r="S40">
        <f>SUM(S30*T30,S34*T34,S38*T38)</f>
        <v>102.04564279851328</v>
      </c>
    </row>
    <row r="41" spans="2:20" x14ac:dyDescent="0.35">
      <c r="B41" s="70"/>
      <c r="C41" t="str">
        <f t="shared" si="2"/>
        <v/>
      </c>
      <c r="D41" s="79"/>
      <c r="E41" s="61" t="str">
        <f>IFERROR(IF(data!O57=0,"",data!O57),"")</f>
        <v/>
      </c>
      <c r="G41" s="61" t="str">
        <f>IFERROR(IF(data!O99=0,"",data!O99),"")</f>
        <v/>
      </c>
      <c r="H41" s="79" t="str">
        <f>IFERROR(IF(data!P99=0,"",data!P99),"")</f>
        <v/>
      </c>
      <c r="J41" s="80">
        <f>data!O146</f>
        <v>0</v>
      </c>
      <c r="K41" s="80" t="str">
        <f>TRIM(data!P146)</f>
        <v/>
      </c>
      <c r="O41" t="s">
        <v>1271</v>
      </c>
      <c r="P41" s="101">
        <f>realTime!W29/100</f>
        <v>3.0280000000000001E-2</v>
      </c>
      <c r="R41" t="s">
        <v>1272</v>
      </c>
      <c r="S41">
        <f>S40-R40</f>
        <v>2.114520364833183</v>
      </c>
    </row>
    <row r="42" spans="2:20" x14ac:dyDescent="0.35">
      <c r="B42" s="70"/>
      <c r="C42" t="str">
        <f t="shared" si="2"/>
        <v/>
      </c>
      <c r="D42" s="79"/>
      <c r="E42" s="61" t="str">
        <f>IFERROR(IF(data!O58=0,"",data!O58),"")</f>
        <v/>
      </c>
      <c r="G42" s="61" t="str">
        <f>IFERROR(IF(data!O100=0,"",data!O100),"")</f>
        <v/>
      </c>
      <c r="H42" s="79" t="str">
        <f>IFERROR(IF(data!P100=0,"",data!P100),"")</f>
        <v/>
      </c>
    </row>
    <row r="43" spans="2:20" x14ac:dyDescent="0.35">
      <c r="B43" s="70"/>
      <c r="C43" t="str">
        <f t="shared" ref="C43:C106" si="7">IF(ISNUMBER(E89),"T" &amp; (ROW()-1) &amp; ":","")</f>
        <v/>
      </c>
      <c r="D43" s="79"/>
      <c r="E43" s="61"/>
      <c r="G43" s="61" t="str">
        <f>IFERROR(IF(data!O101=0,"",data!O101),"")</f>
        <v/>
      </c>
      <c r="H43" s="79" t="str">
        <f>IFERROR(IF(data!P101=0,"",data!P101),"")</f>
        <v/>
      </c>
    </row>
    <row r="44" spans="2:20" x14ac:dyDescent="0.35">
      <c r="B44" s="70"/>
      <c r="C44" t="str">
        <f t="shared" si="7"/>
        <v/>
      </c>
      <c r="D44" s="79"/>
      <c r="E44" s="61"/>
      <c r="G44" s="61" t="str">
        <f>IFERROR(IF(data!O102=0,"",data!O102),"")</f>
        <v/>
      </c>
      <c r="H44" s="79" t="str">
        <f>IFERROR(IF(data!P102=0,"",data!P102),"")</f>
        <v/>
      </c>
    </row>
    <row r="45" spans="2:20" x14ac:dyDescent="0.35">
      <c r="B45" s="70"/>
      <c r="C45" t="str">
        <f t="shared" si="7"/>
        <v/>
      </c>
      <c r="D45" s="79"/>
      <c r="E45" s="61"/>
      <c r="G45" s="61" t="str">
        <f>IFERROR(IF(data!O103=0,"",data!O103),"")</f>
        <v/>
      </c>
      <c r="H45" s="79"/>
    </row>
    <row r="46" spans="2:20" x14ac:dyDescent="0.35">
      <c r="B46" s="70"/>
      <c r="C46" t="str">
        <f t="shared" si="7"/>
        <v/>
      </c>
      <c r="D46" s="79"/>
      <c r="E46" s="61"/>
      <c r="G46" s="61"/>
      <c r="H46" s="79"/>
    </row>
    <row r="47" spans="2:20" x14ac:dyDescent="0.35">
      <c r="B47" s="70"/>
      <c r="C47" t="str">
        <f t="shared" si="7"/>
        <v/>
      </c>
      <c r="D47" s="79"/>
      <c r="E47" s="61"/>
      <c r="G47" s="61"/>
      <c r="H47" s="79"/>
    </row>
    <row r="48" spans="2:20" x14ac:dyDescent="0.35">
      <c r="B48" s="70"/>
      <c r="C48" t="str">
        <f t="shared" si="7"/>
        <v/>
      </c>
      <c r="D48" s="79"/>
      <c r="E48" s="61"/>
      <c r="G48" s="62"/>
      <c r="H48" s="79"/>
    </row>
    <row r="49" spans="2:8" x14ac:dyDescent="0.35">
      <c r="B49" s="73"/>
      <c r="C49" t="str">
        <f t="shared" si="7"/>
        <v/>
      </c>
      <c r="D49" s="79"/>
      <c r="E49" s="61"/>
      <c r="G49" s="62"/>
      <c r="H49" s="79"/>
    </row>
    <row r="50" spans="2:8" x14ac:dyDescent="0.35">
      <c r="B50" s="73"/>
      <c r="C50" t="str">
        <f t="shared" si="7"/>
        <v/>
      </c>
      <c r="D50" s="79"/>
      <c r="E50" s="61"/>
      <c r="G50" s="62"/>
      <c r="H50" s="79"/>
    </row>
    <row r="51" spans="2:8" x14ac:dyDescent="0.35">
      <c r="B51" s="73"/>
      <c r="C51" t="str">
        <f t="shared" si="7"/>
        <v/>
      </c>
      <c r="D51" s="79"/>
      <c r="E51" s="61"/>
      <c r="G51" s="62"/>
      <c r="H51" s="79"/>
    </row>
    <row r="52" spans="2:8" x14ac:dyDescent="0.35">
      <c r="B52" s="73"/>
      <c r="C52" t="str">
        <f t="shared" si="7"/>
        <v/>
      </c>
      <c r="D52" s="79"/>
      <c r="E52" s="61"/>
      <c r="G52" s="62"/>
      <c r="H52" s="79"/>
    </row>
    <row r="53" spans="2:8" x14ac:dyDescent="0.35">
      <c r="B53" s="73"/>
      <c r="C53" t="str">
        <f t="shared" si="7"/>
        <v/>
      </c>
      <c r="D53" s="79"/>
      <c r="E53" s="61"/>
      <c r="G53" s="62"/>
      <c r="H53" s="79"/>
    </row>
    <row r="54" spans="2:8" x14ac:dyDescent="0.35">
      <c r="B54" s="73"/>
      <c r="C54" t="str">
        <f t="shared" si="7"/>
        <v/>
      </c>
      <c r="D54" s="79"/>
      <c r="E54" s="61"/>
      <c r="G54" s="62"/>
      <c r="H54" s="79"/>
    </row>
    <row r="55" spans="2:8" x14ac:dyDescent="0.35">
      <c r="B55" s="73"/>
      <c r="C55" t="str">
        <f t="shared" si="7"/>
        <v/>
      </c>
      <c r="D55" s="79"/>
      <c r="E55" s="61"/>
      <c r="G55" s="62"/>
      <c r="H55" s="79"/>
    </row>
    <row r="56" spans="2:8" x14ac:dyDescent="0.35">
      <c r="B56" s="73"/>
      <c r="C56" t="str">
        <f t="shared" si="7"/>
        <v/>
      </c>
      <c r="D56" s="79"/>
      <c r="E56" s="61"/>
      <c r="G56" s="62"/>
      <c r="H56" s="79"/>
    </row>
    <row r="57" spans="2:8" x14ac:dyDescent="0.35">
      <c r="B57" s="73"/>
      <c r="C57" t="str">
        <f t="shared" si="7"/>
        <v/>
      </c>
      <c r="D57" s="79"/>
      <c r="E57" s="61"/>
      <c r="G57" s="62"/>
      <c r="H57" s="79"/>
    </row>
    <row r="58" spans="2:8" x14ac:dyDescent="0.35">
      <c r="B58" s="73"/>
      <c r="C58" t="str">
        <f t="shared" si="7"/>
        <v/>
      </c>
      <c r="D58" s="79"/>
      <c r="E58" s="61"/>
      <c r="G58" s="62"/>
      <c r="H58" s="79"/>
    </row>
    <row r="59" spans="2:8" x14ac:dyDescent="0.35">
      <c r="B59" s="73"/>
      <c r="C59" t="str">
        <f t="shared" si="7"/>
        <v/>
      </c>
      <c r="D59" s="79"/>
      <c r="E59" s="61"/>
      <c r="G59" s="62"/>
      <c r="H59" s="79"/>
    </row>
    <row r="60" spans="2:8" x14ac:dyDescent="0.35">
      <c r="B60" s="73"/>
      <c r="C60" t="str">
        <f t="shared" si="7"/>
        <v/>
      </c>
      <c r="D60" s="79"/>
      <c r="E60" s="61"/>
      <c r="G60" s="62"/>
      <c r="H60" s="79"/>
    </row>
    <row r="61" spans="2:8" x14ac:dyDescent="0.35">
      <c r="B61" s="73"/>
      <c r="C61" t="str">
        <f t="shared" si="7"/>
        <v/>
      </c>
      <c r="D61" s="79"/>
      <c r="E61" s="61"/>
      <c r="G61" s="62"/>
      <c r="H61" s="79"/>
    </row>
    <row r="62" spans="2:8" x14ac:dyDescent="0.35">
      <c r="B62" s="73"/>
      <c r="C62" t="str">
        <f t="shared" si="7"/>
        <v/>
      </c>
      <c r="D62" s="79"/>
      <c r="E62" s="61"/>
      <c r="G62" s="62"/>
      <c r="H62" s="79"/>
    </row>
    <row r="63" spans="2:8" x14ac:dyDescent="0.35">
      <c r="B63" s="73"/>
      <c r="C63" t="str">
        <f t="shared" si="7"/>
        <v/>
      </c>
      <c r="D63" s="79"/>
      <c r="E63" s="61"/>
      <c r="G63" s="62"/>
      <c r="H63" s="79"/>
    </row>
    <row r="64" spans="2:8" x14ac:dyDescent="0.35">
      <c r="B64" s="73"/>
      <c r="C64" t="str">
        <f t="shared" si="7"/>
        <v/>
      </c>
      <c r="D64" s="79"/>
      <c r="E64" s="61"/>
      <c r="G64" s="62"/>
      <c r="H64" s="79"/>
    </row>
    <row r="65" spans="2:8" x14ac:dyDescent="0.35">
      <c r="B65" s="73"/>
      <c r="C65" t="str">
        <f t="shared" si="7"/>
        <v/>
      </c>
      <c r="D65" s="79"/>
      <c r="E65" s="61"/>
      <c r="G65" s="62"/>
      <c r="H65" s="63"/>
    </row>
    <row r="66" spans="2:8" x14ac:dyDescent="0.35">
      <c r="B66" s="73"/>
      <c r="C66" t="str">
        <f t="shared" si="7"/>
        <v/>
      </c>
      <c r="D66" s="79"/>
      <c r="E66" s="61"/>
      <c r="G66" s="62"/>
      <c r="H66" s="63"/>
    </row>
    <row r="67" spans="2:8" x14ac:dyDescent="0.35">
      <c r="B67" s="73"/>
      <c r="C67" t="str">
        <f t="shared" si="7"/>
        <v/>
      </c>
      <c r="D67" s="79"/>
      <c r="E67" s="61"/>
      <c r="G67" s="62"/>
      <c r="H67" s="63"/>
    </row>
    <row r="68" spans="2:8" x14ac:dyDescent="0.35">
      <c r="B68" s="73"/>
      <c r="C68" t="str">
        <f t="shared" si="7"/>
        <v/>
      </c>
      <c r="D68" s="79"/>
      <c r="E68" s="61"/>
      <c r="G68" s="62"/>
      <c r="H68" s="63"/>
    </row>
    <row r="69" spans="2:8" x14ac:dyDescent="0.35">
      <c r="B69" s="73"/>
      <c r="C69" t="str">
        <f t="shared" si="7"/>
        <v/>
      </c>
      <c r="D69" s="79"/>
      <c r="E69" s="61"/>
      <c r="G69" s="62"/>
      <c r="H69" s="63"/>
    </row>
    <row r="70" spans="2:8" x14ac:dyDescent="0.35">
      <c r="B70" s="73"/>
      <c r="C70" t="str">
        <f t="shared" si="7"/>
        <v/>
      </c>
      <c r="D70" s="79"/>
      <c r="E70" s="61"/>
      <c r="G70" s="62"/>
      <c r="H70" s="63"/>
    </row>
    <row r="71" spans="2:8" x14ac:dyDescent="0.35">
      <c r="B71" s="73"/>
      <c r="C71" t="str">
        <f t="shared" si="7"/>
        <v/>
      </c>
      <c r="D71" s="79"/>
      <c r="E71" s="61"/>
      <c r="G71" s="62"/>
      <c r="H71" s="63"/>
    </row>
    <row r="72" spans="2:8" x14ac:dyDescent="0.35">
      <c r="B72" s="73"/>
      <c r="C72" t="str">
        <f t="shared" si="7"/>
        <v/>
      </c>
      <c r="D72" s="79"/>
      <c r="E72" s="61"/>
      <c r="G72" s="62"/>
      <c r="H72" s="63"/>
    </row>
    <row r="73" spans="2:8" x14ac:dyDescent="0.35">
      <c r="B73" s="73"/>
      <c r="C73" t="str">
        <f t="shared" si="7"/>
        <v/>
      </c>
      <c r="D73" s="79"/>
      <c r="E73" s="61"/>
      <c r="G73" s="62"/>
      <c r="H73" s="63"/>
    </row>
    <row r="74" spans="2:8" x14ac:dyDescent="0.35">
      <c r="B74" s="73"/>
      <c r="C74" t="str">
        <f t="shared" si="7"/>
        <v/>
      </c>
      <c r="D74" s="79"/>
      <c r="E74" s="61"/>
      <c r="G74" s="62"/>
      <c r="H74" s="63"/>
    </row>
    <row r="75" spans="2:8" x14ac:dyDescent="0.35">
      <c r="B75" s="73"/>
      <c r="C75" t="str">
        <f t="shared" si="7"/>
        <v/>
      </c>
      <c r="D75" s="79"/>
      <c r="E75" s="61"/>
      <c r="G75" s="62"/>
      <c r="H75" s="63"/>
    </row>
    <row r="76" spans="2:8" x14ac:dyDescent="0.35">
      <c r="B76" s="73"/>
      <c r="C76" t="str">
        <f t="shared" si="7"/>
        <v/>
      </c>
      <c r="D76" s="79"/>
      <c r="E76" s="61"/>
      <c r="G76" s="62"/>
      <c r="H76" s="63"/>
    </row>
    <row r="77" spans="2:8" x14ac:dyDescent="0.35">
      <c r="B77" s="73"/>
      <c r="C77" t="str">
        <f t="shared" si="7"/>
        <v/>
      </c>
      <c r="D77" s="79"/>
      <c r="E77" s="61"/>
      <c r="G77" s="62"/>
      <c r="H77" s="63"/>
    </row>
    <row r="78" spans="2:8" x14ac:dyDescent="0.35">
      <c r="B78" s="73"/>
      <c r="C78" t="str">
        <f t="shared" si="7"/>
        <v/>
      </c>
      <c r="D78" s="79"/>
      <c r="E78" s="61"/>
      <c r="G78" s="62"/>
      <c r="H78" s="63"/>
    </row>
    <row r="79" spans="2:8" x14ac:dyDescent="0.35">
      <c r="B79" s="73"/>
      <c r="C79" t="str">
        <f t="shared" si="7"/>
        <v/>
      </c>
      <c r="D79" s="79"/>
      <c r="E79" s="61"/>
      <c r="G79" s="62"/>
      <c r="H79" s="63"/>
    </row>
    <row r="80" spans="2:8" x14ac:dyDescent="0.35">
      <c r="B80" s="73"/>
      <c r="C80" t="str">
        <f t="shared" si="7"/>
        <v/>
      </c>
      <c r="D80" s="79"/>
      <c r="E80" s="61"/>
      <c r="G80" s="62"/>
      <c r="H80" s="63"/>
    </row>
    <row r="81" spans="2:8" x14ac:dyDescent="0.35">
      <c r="B81" s="73"/>
      <c r="C81" t="str">
        <f t="shared" si="7"/>
        <v/>
      </c>
      <c r="D81" s="79"/>
      <c r="E81" s="61"/>
      <c r="G81" s="62"/>
      <c r="H81" s="63"/>
    </row>
    <row r="82" spans="2:8" x14ac:dyDescent="0.35">
      <c r="B82" s="73"/>
      <c r="C82" t="str">
        <f t="shared" si="7"/>
        <v/>
      </c>
      <c r="D82" s="79"/>
      <c r="E82" s="61"/>
      <c r="G82" s="62"/>
      <c r="H82" s="63"/>
    </row>
    <row r="83" spans="2:8" x14ac:dyDescent="0.35">
      <c r="B83" s="73"/>
      <c r="C83" t="str">
        <f t="shared" si="7"/>
        <v/>
      </c>
      <c r="D83" s="79"/>
      <c r="E83" s="61"/>
      <c r="G83" s="71"/>
      <c r="H83" s="63"/>
    </row>
    <row r="84" spans="2:8" x14ac:dyDescent="0.35">
      <c r="B84" s="73"/>
      <c r="C84" t="str">
        <f t="shared" si="7"/>
        <v/>
      </c>
      <c r="D84" s="79"/>
      <c r="E84" s="61"/>
      <c r="G84" s="71"/>
      <c r="H84" s="63"/>
    </row>
    <row r="85" spans="2:8" x14ac:dyDescent="0.35">
      <c r="B85" s="73"/>
      <c r="C85" t="str">
        <f t="shared" si="7"/>
        <v/>
      </c>
      <c r="D85" s="79"/>
      <c r="E85" s="61"/>
      <c r="G85" s="71"/>
      <c r="H85" s="63"/>
    </row>
    <row r="86" spans="2:8" x14ac:dyDescent="0.35">
      <c r="B86" s="73"/>
      <c r="C86" t="str">
        <f t="shared" si="7"/>
        <v/>
      </c>
      <c r="D86" s="79"/>
      <c r="E86" s="61"/>
      <c r="G86" s="71"/>
      <c r="H86" s="63"/>
    </row>
    <row r="87" spans="2:8" x14ac:dyDescent="0.35">
      <c r="B87" s="73"/>
      <c r="C87" t="str">
        <f t="shared" si="7"/>
        <v/>
      </c>
      <c r="D87" s="79"/>
      <c r="E87" s="61"/>
      <c r="G87" s="71"/>
      <c r="H87" s="63"/>
    </row>
    <row r="88" spans="2:8" x14ac:dyDescent="0.35">
      <c r="B88" s="73"/>
      <c r="C88" t="str">
        <f t="shared" si="7"/>
        <v/>
      </c>
      <c r="D88" s="79"/>
      <c r="E88" s="61"/>
      <c r="G88" s="71"/>
      <c r="H88" s="63"/>
    </row>
    <row r="89" spans="2:8" x14ac:dyDescent="0.35">
      <c r="B89" s="73"/>
      <c r="C89" t="str">
        <f t="shared" si="7"/>
        <v/>
      </c>
      <c r="D89" s="79"/>
      <c r="E89" s="61"/>
      <c r="G89" s="71"/>
      <c r="H89" s="63"/>
    </row>
    <row r="90" spans="2:8" x14ac:dyDescent="0.35">
      <c r="B90" s="73"/>
      <c r="C90" t="str">
        <f t="shared" si="7"/>
        <v/>
      </c>
      <c r="D90" s="79"/>
      <c r="E90" s="61"/>
      <c r="G90" s="71"/>
      <c r="H90" s="63"/>
    </row>
    <row r="91" spans="2:8" x14ac:dyDescent="0.35">
      <c r="B91" s="73"/>
      <c r="C91" t="str">
        <f t="shared" si="7"/>
        <v/>
      </c>
      <c r="D91" s="79"/>
      <c r="E91" s="61"/>
      <c r="G91" s="71"/>
      <c r="H91" s="63"/>
    </row>
    <row r="92" spans="2:8" x14ac:dyDescent="0.35">
      <c r="B92" s="73"/>
      <c r="C92" t="str">
        <f t="shared" si="7"/>
        <v/>
      </c>
      <c r="D92" s="79"/>
      <c r="E92" s="61"/>
      <c r="G92" s="71"/>
      <c r="H92" s="63"/>
    </row>
    <row r="93" spans="2:8" x14ac:dyDescent="0.35">
      <c r="B93" s="73"/>
      <c r="C93" t="str">
        <f t="shared" si="7"/>
        <v/>
      </c>
      <c r="D93" s="79"/>
      <c r="E93" s="61"/>
      <c r="G93" s="71"/>
      <c r="H93" s="63"/>
    </row>
    <row r="94" spans="2:8" x14ac:dyDescent="0.35">
      <c r="B94" s="73"/>
      <c r="C94" t="str">
        <f t="shared" si="7"/>
        <v/>
      </c>
      <c r="D94" s="79"/>
      <c r="E94" s="61"/>
      <c r="G94" s="71"/>
      <c r="H94" s="63"/>
    </row>
    <row r="95" spans="2:8" x14ac:dyDescent="0.35">
      <c r="B95" s="73"/>
      <c r="C95" t="str">
        <f t="shared" si="7"/>
        <v/>
      </c>
      <c r="D95" s="79"/>
      <c r="E95" s="61"/>
      <c r="G95" s="71"/>
      <c r="H95" s="63"/>
    </row>
    <row r="96" spans="2:8" x14ac:dyDescent="0.35">
      <c r="B96" s="73"/>
      <c r="C96" t="str">
        <f t="shared" si="7"/>
        <v/>
      </c>
      <c r="D96" s="79"/>
      <c r="E96" s="61"/>
      <c r="G96" s="71"/>
      <c r="H96" s="63"/>
    </row>
    <row r="97" spans="2:8" x14ac:dyDescent="0.35">
      <c r="B97" s="73"/>
      <c r="C97" t="str">
        <f t="shared" si="7"/>
        <v/>
      </c>
      <c r="D97" s="79"/>
      <c r="E97" s="61"/>
      <c r="G97" s="71"/>
      <c r="H97" s="63"/>
    </row>
    <row r="98" spans="2:8" x14ac:dyDescent="0.35">
      <c r="B98" s="73"/>
      <c r="C98" t="str">
        <f t="shared" si="7"/>
        <v/>
      </c>
      <c r="D98" s="79"/>
      <c r="E98" s="61"/>
      <c r="G98" s="71"/>
      <c r="H98" s="63"/>
    </row>
    <row r="99" spans="2:8" x14ac:dyDescent="0.35">
      <c r="B99" s="73"/>
      <c r="C99" t="str">
        <f t="shared" si="7"/>
        <v/>
      </c>
      <c r="D99" s="79"/>
      <c r="E99" s="61"/>
      <c r="G99" s="71"/>
      <c r="H99" s="63"/>
    </row>
    <row r="100" spans="2:8" x14ac:dyDescent="0.35">
      <c r="B100" s="73"/>
      <c r="C100" t="str">
        <f t="shared" si="7"/>
        <v/>
      </c>
      <c r="D100" s="79"/>
      <c r="E100" s="61"/>
      <c r="G100" s="71"/>
      <c r="H100" s="63"/>
    </row>
    <row r="101" spans="2:8" x14ac:dyDescent="0.35">
      <c r="B101" s="73"/>
      <c r="C101" t="str">
        <f t="shared" si="7"/>
        <v/>
      </c>
      <c r="D101" s="79"/>
      <c r="E101" s="61"/>
      <c r="G101" s="71"/>
      <c r="H101" s="63"/>
    </row>
    <row r="102" spans="2:8" x14ac:dyDescent="0.35">
      <c r="B102" s="73"/>
      <c r="C102" t="str">
        <f t="shared" si="7"/>
        <v/>
      </c>
      <c r="D102" s="79"/>
      <c r="E102" s="61"/>
      <c r="G102" s="71"/>
      <c r="H102" s="63"/>
    </row>
    <row r="103" spans="2:8" x14ac:dyDescent="0.35">
      <c r="B103" s="73"/>
      <c r="C103" t="str">
        <f t="shared" si="7"/>
        <v/>
      </c>
      <c r="D103" s="79"/>
      <c r="E103" s="61"/>
      <c r="G103" s="71"/>
      <c r="H103" s="63"/>
    </row>
    <row r="104" spans="2:8" x14ac:dyDescent="0.35">
      <c r="B104" s="73"/>
      <c r="C104" t="str">
        <f t="shared" si="7"/>
        <v/>
      </c>
      <c r="D104" s="79"/>
      <c r="E104" s="61"/>
      <c r="G104" s="71"/>
      <c r="H104" s="63"/>
    </row>
    <row r="105" spans="2:8" x14ac:dyDescent="0.35">
      <c r="B105" s="73"/>
      <c r="C105" t="str">
        <f t="shared" si="7"/>
        <v/>
      </c>
      <c r="D105" s="79"/>
      <c r="E105" s="61"/>
      <c r="G105" s="71"/>
      <c r="H105" s="63"/>
    </row>
    <row r="106" spans="2:8" x14ac:dyDescent="0.35">
      <c r="B106" s="73"/>
      <c r="C106" t="str">
        <f t="shared" si="7"/>
        <v/>
      </c>
      <c r="D106" s="79"/>
      <c r="E106" s="61"/>
      <c r="G106" s="71"/>
      <c r="H106" s="63"/>
    </row>
    <row r="107" spans="2:8" x14ac:dyDescent="0.35">
      <c r="B107" s="73"/>
      <c r="C107" t="str">
        <f t="shared" ref="C107:C170" si="8">IF(ISNUMBER(E153),"T" &amp; (ROW()-1) &amp; ":","")</f>
        <v/>
      </c>
      <c r="D107" s="79"/>
      <c r="E107" s="61"/>
      <c r="G107" s="71"/>
      <c r="H107" s="63"/>
    </row>
    <row r="108" spans="2:8" x14ac:dyDescent="0.35">
      <c r="B108" s="73"/>
      <c r="C108" t="str">
        <f t="shared" si="8"/>
        <v/>
      </c>
      <c r="D108" s="79"/>
      <c r="E108" s="61"/>
      <c r="G108" s="71"/>
      <c r="H108" s="63"/>
    </row>
    <row r="109" spans="2:8" x14ac:dyDescent="0.35">
      <c r="B109" s="73"/>
      <c r="C109" t="str">
        <f t="shared" si="8"/>
        <v/>
      </c>
      <c r="D109" s="79"/>
      <c r="E109" s="61"/>
      <c r="G109" s="71"/>
      <c r="H109" s="63"/>
    </row>
    <row r="110" spans="2:8" x14ac:dyDescent="0.35">
      <c r="B110" s="73"/>
      <c r="C110" t="str">
        <f t="shared" si="8"/>
        <v/>
      </c>
      <c r="D110" s="79"/>
      <c r="E110" s="61"/>
      <c r="G110" s="71"/>
      <c r="H110" s="63"/>
    </row>
    <row r="111" spans="2:8" x14ac:dyDescent="0.35">
      <c r="B111" s="73"/>
      <c r="C111" t="str">
        <f t="shared" si="8"/>
        <v/>
      </c>
      <c r="D111" s="79"/>
      <c r="E111" s="61"/>
      <c r="G111" s="71"/>
      <c r="H111" s="63"/>
    </row>
    <row r="112" spans="2:8" x14ac:dyDescent="0.35">
      <c r="B112" s="73"/>
      <c r="C112" t="str">
        <f t="shared" si="8"/>
        <v/>
      </c>
      <c r="D112" s="79"/>
      <c r="E112" s="61"/>
      <c r="G112" s="71"/>
      <c r="H112" s="63"/>
    </row>
    <row r="113" spans="2:8" x14ac:dyDescent="0.35">
      <c r="B113" s="73"/>
      <c r="C113" t="str">
        <f t="shared" si="8"/>
        <v/>
      </c>
      <c r="D113" s="79"/>
      <c r="E113" s="61"/>
      <c r="G113" s="71"/>
      <c r="H113" s="63"/>
    </row>
    <row r="114" spans="2:8" x14ac:dyDescent="0.35">
      <c r="B114" s="73"/>
      <c r="C114" t="str">
        <f t="shared" si="8"/>
        <v/>
      </c>
      <c r="D114" s="79"/>
      <c r="E114" s="61"/>
      <c r="G114" s="71"/>
      <c r="H114" s="63"/>
    </row>
    <row r="115" spans="2:8" x14ac:dyDescent="0.35">
      <c r="B115" s="73"/>
      <c r="C115" t="str">
        <f t="shared" si="8"/>
        <v/>
      </c>
      <c r="D115" s="79"/>
      <c r="E115" s="61"/>
      <c r="G115" s="71"/>
      <c r="H115" s="63"/>
    </row>
    <row r="116" spans="2:8" x14ac:dyDescent="0.35">
      <c r="B116" s="73"/>
      <c r="C116" t="str">
        <f t="shared" si="8"/>
        <v/>
      </c>
      <c r="D116" s="79"/>
      <c r="E116" s="61"/>
      <c r="G116" s="71"/>
      <c r="H116" s="63"/>
    </row>
    <row r="117" spans="2:8" x14ac:dyDescent="0.35">
      <c r="B117" s="73"/>
      <c r="C117" t="str">
        <f t="shared" si="8"/>
        <v/>
      </c>
      <c r="D117" s="79"/>
      <c r="E117" s="61"/>
      <c r="G117" s="71"/>
      <c r="H117" s="63"/>
    </row>
    <row r="118" spans="2:8" x14ac:dyDescent="0.35">
      <c r="B118" s="73"/>
      <c r="C118" t="str">
        <f t="shared" si="8"/>
        <v/>
      </c>
      <c r="D118" s="79"/>
      <c r="E118" s="61"/>
      <c r="G118" s="71"/>
      <c r="H118" s="63"/>
    </row>
    <row r="119" spans="2:8" x14ac:dyDescent="0.35">
      <c r="B119" s="73"/>
      <c r="C119" t="str">
        <f t="shared" si="8"/>
        <v/>
      </c>
      <c r="D119" s="79"/>
      <c r="E119" s="61"/>
      <c r="G119" s="71"/>
      <c r="H119" s="63"/>
    </row>
    <row r="120" spans="2:8" x14ac:dyDescent="0.35">
      <c r="B120" s="73"/>
      <c r="C120" t="str">
        <f t="shared" si="8"/>
        <v/>
      </c>
      <c r="D120" s="79"/>
      <c r="E120" s="61"/>
      <c r="G120" s="71"/>
      <c r="H120" s="63"/>
    </row>
    <row r="121" spans="2:8" x14ac:dyDescent="0.35">
      <c r="B121" s="73"/>
      <c r="C121" t="str">
        <f t="shared" si="8"/>
        <v/>
      </c>
      <c r="D121" s="79"/>
      <c r="E121" s="61"/>
      <c r="G121" s="71"/>
      <c r="H121" s="63"/>
    </row>
    <row r="122" spans="2:8" x14ac:dyDescent="0.35">
      <c r="B122" s="73"/>
      <c r="C122" t="str">
        <f t="shared" si="8"/>
        <v/>
      </c>
      <c r="D122" s="79"/>
      <c r="E122" s="61"/>
      <c r="G122" s="71"/>
      <c r="H122" s="63"/>
    </row>
    <row r="123" spans="2:8" x14ac:dyDescent="0.35">
      <c r="B123" s="73"/>
      <c r="C123" t="str">
        <f t="shared" si="8"/>
        <v/>
      </c>
      <c r="D123" s="79"/>
      <c r="E123" s="61"/>
      <c r="G123" s="71"/>
      <c r="H123" s="63"/>
    </row>
    <row r="124" spans="2:8" x14ac:dyDescent="0.35">
      <c r="B124" s="73"/>
      <c r="C124" t="str">
        <f t="shared" si="8"/>
        <v/>
      </c>
      <c r="D124" s="79"/>
      <c r="E124" s="61"/>
      <c r="G124" s="71"/>
      <c r="H124" s="63"/>
    </row>
    <row r="125" spans="2:8" x14ac:dyDescent="0.35">
      <c r="B125" s="73"/>
      <c r="C125" t="str">
        <f t="shared" si="8"/>
        <v/>
      </c>
      <c r="D125" s="79"/>
      <c r="E125" s="61"/>
      <c r="G125" s="71"/>
      <c r="H125" s="63"/>
    </row>
    <row r="126" spans="2:8" x14ac:dyDescent="0.35">
      <c r="B126" s="73"/>
      <c r="C126" t="str">
        <f t="shared" si="8"/>
        <v/>
      </c>
      <c r="D126" s="79"/>
      <c r="E126" s="61"/>
      <c r="G126" s="71"/>
      <c r="H126" s="63"/>
    </row>
    <row r="127" spans="2:8" x14ac:dyDescent="0.35">
      <c r="B127" s="73"/>
      <c r="C127" t="str">
        <f t="shared" si="8"/>
        <v/>
      </c>
      <c r="D127" s="79"/>
      <c r="E127" s="61"/>
      <c r="G127" s="71"/>
      <c r="H127" s="63"/>
    </row>
    <row r="128" spans="2:8" x14ac:dyDescent="0.35">
      <c r="B128" s="73"/>
      <c r="C128" t="str">
        <f t="shared" si="8"/>
        <v/>
      </c>
      <c r="D128" s="79"/>
      <c r="E128" s="61"/>
      <c r="G128" s="71"/>
      <c r="H128" s="63"/>
    </row>
    <row r="129" spans="2:8" x14ac:dyDescent="0.35">
      <c r="B129" s="73"/>
      <c r="C129" t="str">
        <f t="shared" si="8"/>
        <v/>
      </c>
      <c r="D129" s="79"/>
      <c r="E129" s="61"/>
      <c r="G129" s="71"/>
      <c r="H129" s="63"/>
    </row>
    <row r="130" spans="2:8" x14ac:dyDescent="0.35">
      <c r="B130" s="73"/>
      <c r="C130" t="str">
        <f t="shared" si="8"/>
        <v/>
      </c>
      <c r="D130" s="79"/>
      <c r="E130" s="61"/>
      <c r="G130" s="71"/>
      <c r="H130" s="63"/>
    </row>
    <row r="131" spans="2:8" x14ac:dyDescent="0.35">
      <c r="B131" s="73"/>
      <c r="C131" t="str">
        <f t="shared" si="8"/>
        <v/>
      </c>
      <c r="D131" s="79"/>
      <c r="E131" s="61"/>
      <c r="G131" s="71"/>
      <c r="H131" s="63"/>
    </row>
    <row r="132" spans="2:8" x14ac:dyDescent="0.35">
      <c r="B132" s="73"/>
      <c r="C132" t="str">
        <f t="shared" si="8"/>
        <v/>
      </c>
      <c r="D132" s="79"/>
      <c r="E132" s="61"/>
      <c r="G132" s="71"/>
      <c r="H132" s="63"/>
    </row>
    <row r="133" spans="2:8" x14ac:dyDescent="0.35">
      <c r="B133" s="73"/>
      <c r="C133" t="str">
        <f t="shared" si="8"/>
        <v/>
      </c>
      <c r="D133" s="79"/>
      <c r="E133" s="61"/>
      <c r="G133" s="71"/>
      <c r="H133" s="63"/>
    </row>
    <row r="134" spans="2:8" x14ac:dyDescent="0.35">
      <c r="B134" s="73"/>
      <c r="C134" t="str">
        <f t="shared" si="8"/>
        <v/>
      </c>
      <c r="D134" s="79"/>
      <c r="E134" s="61"/>
      <c r="G134" s="71"/>
      <c r="H134" s="63"/>
    </row>
    <row r="135" spans="2:8" x14ac:dyDescent="0.35">
      <c r="B135" s="73"/>
      <c r="C135" t="str">
        <f t="shared" si="8"/>
        <v/>
      </c>
      <c r="D135" s="79"/>
      <c r="E135" s="61"/>
      <c r="G135" s="71"/>
      <c r="H135" s="63"/>
    </row>
    <row r="136" spans="2:8" x14ac:dyDescent="0.35">
      <c r="B136" s="73"/>
      <c r="C136" t="str">
        <f t="shared" si="8"/>
        <v/>
      </c>
      <c r="D136" s="79"/>
      <c r="E136" s="61"/>
      <c r="G136" s="71"/>
      <c r="H136" s="63"/>
    </row>
    <row r="137" spans="2:8" x14ac:dyDescent="0.35">
      <c r="B137" s="73"/>
      <c r="C137" t="str">
        <f t="shared" si="8"/>
        <v/>
      </c>
      <c r="D137" s="79"/>
      <c r="E137" s="61"/>
      <c r="G137" s="71"/>
      <c r="H137" s="63"/>
    </row>
    <row r="138" spans="2:8" x14ac:dyDescent="0.35">
      <c r="B138" s="73"/>
      <c r="C138" t="str">
        <f t="shared" si="8"/>
        <v/>
      </c>
      <c r="D138" s="79"/>
      <c r="E138" s="61"/>
      <c r="G138" s="71"/>
      <c r="H138" s="63"/>
    </row>
    <row r="139" spans="2:8" x14ac:dyDescent="0.35">
      <c r="B139" s="73"/>
      <c r="C139" t="str">
        <f t="shared" si="8"/>
        <v/>
      </c>
      <c r="D139" s="79"/>
      <c r="E139" s="61"/>
      <c r="G139" s="71"/>
      <c r="H139" s="63"/>
    </row>
    <row r="140" spans="2:8" x14ac:dyDescent="0.35">
      <c r="B140" s="73"/>
      <c r="C140" t="str">
        <f t="shared" si="8"/>
        <v/>
      </c>
      <c r="D140" s="79"/>
      <c r="E140" s="61"/>
      <c r="G140" s="71"/>
      <c r="H140" s="63"/>
    </row>
    <row r="141" spans="2:8" x14ac:dyDescent="0.35">
      <c r="B141" s="73"/>
      <c r="C141" t="str">
        <f t="shared" si="8"/>
        <v/>
      </c>
      <c r="D141" s="79"/>
      <c r="E141" s="61"/>
      <c r="G141" s="71"/>
      <c r="H141" s="63"/>
    </row>
    <row r="142" spans="2:8" x14ac:dyDescent="0.35">
      <c r="B142" s="73"/>
      <c r="C142" t="str">
        <f t="shared" si="8"/>
        <v/>
      </c>
      <c r="D142" s="79"/>
      <c r="E142" s="61"/>
      <c r="G142" s="71"/>
      <c r="H142" s="63"/>
    </row>
    <row r="143" spans="2:8" x14ac:dyDescent="0.35">
      <c r="B143" s="73"/>
      <c r="C143" t="str">
        <f t="shared" si="8"/>
        <v/>
      </c>
      <c r="D143" s="79"/>
      <c r="E143" s="61"/>
      <c r="G143" s="71"/>
      <c r="H143" s="63"/>
    </row>
    <row r="144" spans="2:8" x14ac:dyDescent="0.35">
      <c r="B144" s="73"/>
      <c r="C144" t="str">
        <f t="shared" si="8"/>
        <v/>
      </c>
      <c r="D144" s="79"/>
      <c r="E144" s="61"/>
      <c r="G144" s="71"/>
      <c r="H144" s="63"/>
    </row>
    <row r="145" spans="2:8" x14ac:dyDescent="0.35">
      <c r="B145" s="73"/>
      <c r="C145" t="str">
        <f t="shared" si="8"/>
        <v/>
      </c>
      <c r="D145" s="79"/>
      <c r="E145" s="61"/>
      <c r="G145" s="71"/>
      <c r="H145" s="63"/>
    </row>
    <row r="146" spans="2:8" x14ac:dyDescent="0.35">
      <c r="B146" s="73"/>
      <c r="C146" t="str">
        <f t="shared" si="8"/>
        <v/>
      </c>
      <c r="D146" s="79"/>
      <c r="E146" s="61"/>
      <c r="G146" s="71"/>
      <c r="H146" s="63"/>
    </row>
    <row r="147" spans="2:8" x14ac:dyDescent="0.35">
      <c r="B147" s="73"/>
      <c r="C147" t="str">
        <f t="shared" si="8"/>
        <v/>
      </c>
      <c r="D147" s="79"/>
      <c r="E147" s="61"/>
      <c r="G147" s="71"/>
      <c r="H147" s="63"/>
    </row>
    <row r="148" spans="2:8" x14ac:dyDescent="0.35">
      <c r="B148" s="73"/>
      <c r="C148" t="str">
        <f t="shared" si="8"/>
        <v/>
      </c>
      <c r="D148" s="79"/>
      <c r="E148" s="61"/>
      <c r="G148" s="71"/>
      <c r="H148" s="63"/>
    </row>
    <row r="149" spans="2:8" x14ac:dyDescent="0.35">
      <c r="B149" s="73"/>
      <c r="C149" t="str">
        <f t="shared" si="8"/>
        <v/>
      </c>
      <c r="D149" s="79"/>
      <c r="E149" s="61"/>
      <c r="G149" s="71"/>
      <c r="H149" s="63"/>
    </row>
    <row r="150" spans="2:8" x14ac:dyDescent="0.35">
      <c r="B150" s="73"/>
      <c r="C150" t="str">
        <f t="shared" si="8"/>
        <v/>
      </c>
      <c r="D150" s="79"/>
      <c r="E150" s="61"/>
      <c r="G150" s="71"/>
      <c r="H150" s="63"/>
    </row>
    <row r="151" spans="2:8" x14ac:dyDescent="0.35">
      <c r="B151" s="73"/>
      <c r="C151" t="str">
        <f t="shared" si="8"/>
        <v/>
      </c>
      <c r="D151" s="79"/>
      <c r="E151" s="61"/>
      <c r="G151" s="71"/>
      <c r="H151" s="63"/>
    </row>
    <row r="152" spans="2:8" x14ac:dyDescent="0.35">
      <c r="B152" s="73"/>
      <c r="C152" t="str">
        <f t="shared" si="8"/>
        <v/>
      </c>
      <c r="D152" s="79"/>
      <c r="E152" s="61"/>
      <c r="G152" s="71"/>
      <c r="H152" s="63"/>
    </row>
    <row r="153" spans="2:8" x14ac:dyDescent="0.35">
      <c r="B153" s="73"/>
      <c r="C153" t="str">
        <f t="shared" si="8"/>
        <v/>
      </c>
      <c r="D153" s="79"/>
      <c r="E153" s="61"/>
      <c r="G153" s="71"/>
      <c r="H153" s="63"/>
    </row>
    <row r="154" spans="2:8" x14ac:dyDescent="0.35">
      <c r="B154" s="73"/>
      <c r="C154" t="str">
        <f t="shared" si="8"/>
        <v/>
      </c>
      <c r="D154" s="79"/>
      <c r="E154" s="61"/>
      <c r="G154" s="71"/>
      <c r="H154" s="63"/>
    </row>
    <row r="155" spans="2:8" x14ac:dyDescent="0.35">
      <c r="B155" s="73"/>
      <c r="C155" t="str">
        <f t="shared" si="8"/>
        <v/>
      </c>
      <c r="D155" s="79"/>
      <c r="E155" s="61"/>
      <c r="G155" s="71"/>
      <c r="H155" s="63"/>
    </row>
    <row r="156" spans="2:8" x14ac:dyDescent="0.35">
      <c r="B156" s="73"/>
      <c r="C156" t="str">
        <f t="shared" si="8"/>
        <v/>
      </c>
      <c r="D156" s="79"/>
      <c r="E156" s="61"/>
      <c r="G156" s="71"/>
      <c r="H156" s="63"/>
    </row>
    <row r="157" spans="2:8" x14ac:dyDescent="0.35">
      <c r="B157" s="73"/>
      <c r="C157" t="str">
        <f t="shared" si="8"/>
        <v/>
      </c>
      <c r="D157" s="79"/>
      <c r="E157" s="61"/>
      <c r="G157" s="71"/>
      <c r="H157" s="63"/>
    </row>
    <row r="158" spans="2:8" x14ac:dyDescent="0.35">
      <c r="B158" s="73"/>
      <c r="C158" t="str">
        <f t="shared" si="8"/>
        <v/>
      </c>
      <c r="D158" s="79" t="str">
        <f>IFERROR(IF(data!P174=0,"",data!P174),"")</f>
        <v/>
      </c>
      <c r="E158" s="61"/>
      <c r="G158" s="71"/>
      <c r="H158" s="63"/>
    </row>
    <row r="159" spans="2:8" x14ac:dyDescent="0.35">
      <c r="B159" s="73"/>
      <c r="C159" t="str">
        <f t="shared" si="8"/>
        <v/>
      </c>
      <c r="D159" s="79" t="str">
        <f>IFERROR(IF(data!P175=0,"",data!P175),"")</f>
        <v/>
      </c>
      <c r="E159" s="61"/>
      <c r="G159" s="71"/>
      <c r="H159" s="63"/>
    </row>
    <row r="160" spans="2:8" x14ac:dyDescent="0.35">
      <c r="B160" s="73"/>
      <c r="C160" t="str">
        <f t="shared" si="8"/>
        <v/>
      </c>
      <c r="D160" s="79" t="str">
        <f>IFERROR(IF(data!P176=0,"",data!P176),"")</f>
        <v/>
      </c>
      <c r="E160" s="61"/>
      <c r="G160" s="71"/>
      <c r="H160" s="63"/>
    </row>
    <row r="161" spans="2:8" x14ac:dyDescent="0.35">
      <c r="B161" s="73"/>
      <c r="C161" t="str">
        <f t="shared" si="8"/>
        <v/>
      </c>
      <c r="D161" s="79" t="str">
        <f>IFERROR(IF(data!P177=0,"",data!P177),"")</f>
        <v/>
      </c>
      <c r="E161" s="61"/>
      <c r="G161" s="71"/>
      <c r="H161" s="63"/>
    </row>
    <row r="162" spans="2:8" x14ac:dyDescent="0.35">
      <c r="B162" s="73"/>
      <c r="C162" t="str">
        <f t="shared" si="8"/>
        <v/>
      </c>
      <c r="D162" s="79" t="str">
        <f>IFERROR(IF(data!P178=0,"",data!P178),"")</f>
        <v/>
      </c>
      <c r="E162" s="61"/>
      <c r="G162" s="71"/>
      <c r="H162" s="63"/>
    </row>
    <row r="163" spans="2:8" x14ac:dyDescent="0.35">
      <c r="B163" s="73"/>
      <c r="C163" t="str">
        <f t="shared" si="8"/>
        <v/>
      </c>
      <c r="D163" s="79" t="str">
        <f>IFERROR(IF(data!P179=0,"",data!P179),"")</f>
        <v/>
      </c>
      <c r="E163" s="61"/>
      <c r="G163" s="71"/>
      <c r="H163" s="63"/>
    </row>
    <row r="164" spans="2:8" x14ac:dyDescent="0.35">
      <c r="B164" s="73"/>
      <c r="C164" t="str">
        <f t="shared" si="8"/>
        <v/>
      </c>
      <c r="D164" s="79" t="str">
        <f>IFERROR(IF(data!P180=0,"",data!P180),"")</f>
        <v/>
      </c>
      <c r="E164" s="61"/>
      <c r="G164" s="71"/>
      <c r="H164" s="63"/>
    </row>
    <row r="165" spans="2:8" x14ac:dyDescent="0.35">
      <c r="B165" s="73"/>
      <c r="C165" t="str">
        <f t="shared" si="8"/>
        <v/>
      </c>
      <c r="D165" s="79" t="str">
        <f>IFERROR(IF(data!P181=0,"",data!P181),"")</f>
        <v/>
      </c>
      <c r="E165" s="61"/>
      <c r="G165" s="71"/>
      <c r="H165" s="63"/>
    </row>
    <row r="166" spans="2:8" x14ac:dyDescent="0.35">
      <c r="B166" s="73"/>
      <c r="C166" t="str">
        <f t="shared" si="8"/>
        <v/>
      </c>
      <c r="D166" s="79" t="str">
        <f>IFERROR(IF(data!P182=0,"",data!P182),"")</f>
        <v/>
      </c>
      <c r="E166" s="61"/>
      <c r="G166" s="71"/>
      <c r="H166" s="63"/>
    </row>
    <row r="167" spans="2:8" x14ac:dyDescent="0.35">
      <c r="B167" s="73"/>
      <c r="C167" t="str">
        <f t="shared" si="8"/>
        <v/>
      </c>
      <c r="D167" s="79" t="str">
        <f>IFERROR(IF(data!P183=0,"",data!P183),"")</f>
        <v/>
      </c>
      <c r="E167" s="61"/>
      <c r="G167" s="71"/>
      <c r="H167" s="63"/>
    </row>
    <row r="168" spans="2:8" x14ac:dyDescent="0.35">
      <c r="B168" s="73"/>
      <c r="C168" t="str">
        <f t="shared" si="8"/>
        <v/>
      </c>
      <c r="D168" s="79" t="str">
        <f>IFERROR(IF(data!P184=0,"",data!P184),"")</f>
        <v/>
      </c>
      <c r="E168" s="61"/>
      <c r="G168" s="71"/>
      <c r="H168" s="63"/>
    </row>
    <row r="169" spans="2:8" x14ac:dyDescent="0.35">
      <c r="B169" s="73"/>
      <c r="C169" t="str">
        <f t="shared" si="8"/>
        <v/>
      </c>
      <c r="D169" s="79" t="str">
        <f>IFERROR(IF(data!P185=0,"",data!P185),"")</f>
        <v/>
      </c>
      <c r="E169" s="61"/>
      <c r="G169" s="71"/>
      <c r="H169" s="63"/>
    </row>
    <row r="170" spans="2:8" x14ac:dyDescent="0.35">
      <c r="B170" s="73"/>
      <c r="C170" t="str">
        <f t="shared" si="8"/>
        <v/>
      </c>
      <c r="D170" s="79" t="str">
        <f>IFERROR(IF(data!P186=0,"",data!P186),"")</f>
        <v/>
      </c>
      <c r="E170" s="61"/>
      <c r="G170" s="71"/>
      <c r="H170" s="63"/>
    </row>
    <row r="171" spans="2:8" x14ac:dyDescent="0.35">
      <c r="B171" s="73"/>
      <c r="C171" t="str">
        <f t="shared" ref="C171:C234" si="9">IF(ISNUMBER(E217),"T" &amp; (ROW()-1) &amp; ":","")</f>
        <v/>
      </c>
      <c r="D171" s="79" t="str">
        <f>IFERROR(IF(data!P187=0,"",data!P187),"")</f>
        <v/>
      </c>
      <c r="E171" s="61"/>
      <c r="G171" s="71"/>
      <c r="H171" s="63"/>
    </row>
    <row r="172" spans="2:8" x14ac:dyDescent="0.35">
      <c r="B172" s="73"/>
      <c r="C172" t="str">
        <f t="shared" si="9"/>
        <v/>
      </c>
      <c r="D172" s="79" t="str">
        <f>IFERROR(IF(data!P188=0,"",data!P188),"")</f>
        <v/>
      </c>
      <c r="E172" s="61"/>
      <c r="G172" s="71"/>
      <c r="H172" s="63"/>
    </row>
    <row r="173" spans="2:8" x14ac:dyDescent="0.35">
      <c r="B173" s="73"/>
      <c r="C173" t="str">
        <f t="shared" si="9"/>
        <v/>
      </c>
      <c r="D173" s="79" t="str">
        <f>IFERROR(IF(data!P189=0,"",data!P189),"")</f>
        <v/>
      </c>
      <c r="E173" s="61"/>
      <c r="G173" s="71"/>
      <c r="H173" s="63"/>
    </row>
    <row r="174" spans="2:8" x14ac:dyDescent="0.35">
      <c r="B174" s="73"/>
      <c r="C174" t="str">
        <f t="shared" si="9"/>
        <v/>
      </c>
      <c r="D174" s="79" t="str">
        <f>IFERROR(IF(data!P190=0,"",data!P190),"")</f>
        <v/>
      </c>
      <c r="E174" s="61"/>
      <c r="G174" s="71"/>
      <c r="H174" s="63"/>
    </row>
    <row r="175" spans="2:8" x14ac:dyDescent="0.35">
      <c r="B175" s="73"/>
      <c r="C175" t="str">
        <f t="shared" si="9"/>
        <v/>
      </c>
      <c r="D175" s="79" t="str">
        <f>IFERROR(IF(data!P191=0,"",data!P191),"")</f>
        <v/>
      </c>
      <c r="E175" s="61"/>
      <c r="G175" s="71"/>
      <c r="H175" s="63"/>
    </row>
    <row r="176" spans="2:8" x14ac:dyDescent="0.35">
      <c r="B176" s="73"/>
      <c r="C176" t="str">
        <f t="shared" si="9"/>
        <v/>
      </c>
      <c r="D176" s="79" t="str">
        <f>IFERROR(IF(data!P192=0,"",data!P192),"")</f>
        <v/>
      </c>
      <c r="E176" s="61"/>
      <c r="G176" s="71"/>
      <c r="H176" s="63"/>
    </row>
    <row r="177" spans="2:8" x14ac:dyDescent="0.35">
      <c r="B177" s="73"/>
      <c r="C177" t="str">
        <f t="shared" si="9"/>
        <v/>
      </c>
      <c r="D177" s="79" t="str">
        <f>IFERROR(IF(data!P193=0,"",data!P193),"")</f>
        <v/>
      </c>
      <c r="E177" s="61"/>
      <c r="G177" s="71"/>
      <c r="H177" s="63"/>
    </row>
    <row r="178" spans="2:8" x14ac:dyDescent="0.35">
      <c r="B178" s="73"/>
      <c r="C178" t="str">
        <f t="shared" si="9"/>
        <v/>
      </c>
      <c r="D178" s="79" t="str">
        <f>IFERROR(IF(data!P194=0,"",data!P194),"")</f>
        <v/>
      </c>
      <c r="E178" s="61"/>
      <c r="G178" s="71"/>
      <c r="H178" s="63"/>
    </row>
    <row r="179" spans="2:8" x14ac:dyDescent="0.35">
      <c r="B179" s="73"/>
      <c r="C179" t="str">
        <f t="shared" si="9"/>
        <v/>
      </c>
      <c r="D179" s="79" t="str">
        <f>IFERROR(IF(data!P195=0,"",data!P195),"")</f>
        <v/>
      </c>
      <c r="E179" s="61"/>
      <c r="G179" s="71"/>
      <c r="H179" s="63"/>
    </row>
    <row r="180" spans="2:8" x14ac:dyDescent="0.35">
      <c r="B180" s="73"/>
      <c r="C180" t="str">
        <f t="shared" si="9"/>
        <v/>
      </c>
      <c r="D180" s="79" t="str">
        <f>IFERROR(IF(data!P196=0,"",data!P196),"")</f>
        <v/>
      </c>
      <c r="E180" s="61"/>
      <c r="G180" s="71"/>
      <c r="H180" s="63"/>
    </row>
    <row r="181" spans="2:8" x14ac:dyDescent="0.35">
      <c r="B181" s="73"/>
      <c r="C181" t="str">
        <f t="shared" si="9"/>
        <v/>
      </c>
      <c r="D181" s="79" t="str">
        <f>IFERROR(IF(data!P197=0,"",data!P197),"")</f>
        <v/>
      </c>
      <c r="E181" s="61"/>
      <c r="G181" s="71"/>
      <c r="H181" s="63"/>
    </row>
    <row r="182" spans="2:8" x14ac:dyDescent="0.35">
      <c r="B182" s="73"/>
      <c r="C182" t="str">
        <f t="shared" si="9"/>
        <v/>
      </c>
      <c r="D182" s="79" t="str">
        <f>IFERROR(IF(data!P198=0,"",data!P198),"")</f>
        <v/>
      </c>
      <c r="E182" s="61"/>
      <c r="G182" s="71"/>
      <c r="H182" s="63"/>
    </row>
    <row r="183" spans="2:8" x14ac:dyDescent="0.35">
      <c r="B183" s="73"/>
      <c r="C183" t="str">
        <f t="shared" si="9"/>
        <v/>
      </c>
      <c r="D183" s="79" t="str">
        <f>IFERROR(IF(data!P199=0,"",data!P199),"")</f>
        <v/>
      </c>
      <c r="E183" s="61"/>
      <c r="G183" s="71"/>
      <c r="H183" s="63"/>
    </row>
    <row r="184" spans="2:8" x14ac:dyDescent="0.35">
      <c r="B184" s="73"/>
      <c r="C184" t="str">
        <f t="shared" si="9"/>
        <v/>
      </c>
      <c r="D184" s="79" t="str">
        <f>IFERROR(IF(data!P200=0,"",data!P200),"")</f>
        <v/>
      </c>
      <c r="E184" s="61"/>
      <c r="G184" s="71"/>
      <c r="H184" s="63"/>
    </row>
    <row r="185" spans="2:8" x14ac:dyDescent="0.35">
      <c r="B185" s="73"/>
      <c r="C185" t="str">
        <f t="shared" si="9"/>
        <v/>
      </c>
      <c r="D185" s="79" t="str">
        <f>IFERROR(IF(data!P201=0,"",data!P201),"")</f>
        <v/>
      </c>
      <c r="E185" s="61"/>
      <c r="G185" s="71"/>
      <c r="H185" s="63"/>
    </row>
    <row r="186" spans="2:8" x14ac:dyDescent="0.35">
      <c r="B186" s="73"/>
      <c r="C186" t="str">
        <f t="shared" si="9"/>
        <v/>
      </c>
      <c r="D186" s="79" t="str">
        <f>IFERROR(IF(data!P202=0,"",data!P202),"")</f>
        <v/>
      </c>
      <c r="E186" s="61"/>
      <c r="G186" s="71"/>
      <c r="H186" s="63"/>
    </row>
    <row r="187" spans="2:8" x14ac:dyDescent="0.35">
      <c r="B187" s="73"/>
      <c r="C187" t="str">
        <f t="shared" si="9"/>
        <v/>
      </c>
      <c r="D187" s="79" t="str">
        <f>IFERROR(IF(data!P203=0,"",data!P203),"")</f>
        <v/>
      </c>
      <c r="E187" s="61"/>
      <c r="G187" s="71"/>
      <c r="H187" s="63"/>
    </row>
    <row r="188" spans="2:8" x14ac:dyDescent="0.35">
      <c r="B188" s="73"/>
      <c r="C188" t="str">
        <f t="shared" si="9"/>
        <v/>
      </c>
      <c r="D188" s="79" t="str">
        <f>IFERROR(IF(data!P204=0,"",data!P204),"")</f>
        <v/>
      </c>
      <c r="E188" s="61"/>
      <c r="G188" s="71"/>
      <c r="H188" s="63"/>
    </row>
    <row r="189" spans="2:8" x14ac:dyDescent="0.35">
      <c r="B189" s="73"/>
      <c r="C189" t="str">
        <f t="shared" si="9"/>
        <v/>
      </c>
      <c r="D189" s="79" t="str">
        <f>IFERROR(IF(data!P205=0,"",data!P205),"")</f>
        <v/>
      </c>
      <c r="E189" s="61"/>
      <c r="G189" s="71"/>
      <c r="H189" s="63"/>
    </row>
    <row r="190" spans="2:8" x14ac:dyDescent="0.35">
      <c r="B190" s="73"/>
      <c r="C190" t="str">
        <f t="shared" si="9"/>
        <v/>
      </c>
      <c r="D190" s="79" t="str">
        <f>IFERROR(IF(data!P206=0,"",data!P206),"")</f>
        <v/>
      </c>
      <c r="E190" s="61"/>
      <c r="G190" s="71"/>
      <c r="H190" s="63"/>
    </row>
    <row r="191" spans="2:8" x14ac:dyDescent="0.35">
      <c r="B191" s="73"/>
      <c r="C191" t="str">
        <f t="shared" si="9"/>
        <v/>
      </c>
      <c r="D191" s="79" t="str">
        <f>IFERROR(IF(data!P207=0,"",data!P207),"")</f>
        <v/>
      </c>
      <c r="E191" s="61"/>
      <c r="G191" s="71"/>
      <c r="H191" s="63"/>
    </row>
    <row r="192" spans="2:8" x14ac:dyDescent="0.35">
      <c r="B192" s="73"/>
      <c r="C192" t="str">
        <f t="shared" si="9"/>
        <v/>
      </c>
      <c r="D192" s="79" t="str">
        <f>IFERROR(IF(data!P208=0,"",data!P208),"")</f>
        <v/>
      </c>
      <c r="E192" s="61"/>
      <c r="G192" s="71"/>
      <c r="H192" s="63"/>
    </row>
    <row r="193" spans="2:8" x14ac:dyDescent="0.35">
      <c r="B193" s="73"/>
      <c r="C193" t="str">
        <f t="shared" si="9"/>
        <v/>
      </c>
      <c r="D193" s="79" t="str">
        <f>IFERROR(IF(data!P209=0,"",data!P209),"")</f>
        <v/>
      </c>
      <c r="E193" s="61"/>
      <c r="G193" s="71"/>
      <c r="H193" s="63"/>
    </row>
    <row r="194" spans="2:8" x14ac:dyDescent="0.35">
      <c r="B194" s="73"/>
      <c r="C194" t="str">
        <f t="shared" si="9"/>
        <v/>
      </c>
      <c r="D194" s="79" t="str">
        <f>IFERROR(IF(data!P210=0,"",data!P210),"")</f>
        <v/>
      </c>
      <c r="E194" s="61"/>
      <c r="G194" s="71"/>
      <c r="H194" s="63"/>
    </row>
    <row r="195" spans="2:8" x14ac:dyDescent="0.35">
      <c r="B195" s="73"/>
      <c r="C195" t="str">
        <f t="shared" si="9"/>
        <v/>
      </c>
      <c r="D195" s="79" t="str">
        <f>IFERROR(IF(data!P211=0,"",data!P211),"")</f>
        <v/>
      </c>
      <c r="E195" s="61"/>
      <c r="G195" s="71"/>
      <c r="H195" s="63"/>
    </row>
    <row r="196" spans="2:8" x14ac:dyDescent="0.35">
      <c r="B196" s="73"/>
      <c r="C196" t="str">
        <f t="shared" si="9"/>
        <v/>
      </c>
      <c r="D196" s="79" t="str">
        <f>IFERROR(IF(data!P212=0,"",data!P212),"")</f>
        <v/>
      </c>
      <c r="E196" s="61"/>
      <c r="G196" s="71"/>
      <c r="H196" s="63"/>
    </row>
    <row r="197" spans="2:8" x14ac:dyDescent="0.35">
      <c r="B197" s="73"/>
      <c r="C197" t="str">
        <f t="shared" si="9"/>
        <v/>
      </c>
      <c r="D197" s="79" t="str">
        <f>IFERROR(IF(data!P213=0,"",data!P213),"")</f>
        <v/>
      </c>
      <c r="E197" s="61"/>
      <c r="G197" s="71"/>
      <c r="H197" s="63"/>
    </row>
    <row r="198" spans="2:8" x14ac:dyDescent="0.35">
      <c r="B198" s="73"/>
      <c r="C198" t="str">
        <f t="shared" si="9"/>
        <v/>
      </c>
      <c r="D198" s="79" t="str">
        <f>IFERROR(IF(data!P214=0,"",data!P214),"")</f>
        <v/>
      </c>
      <c r="E198" s="61"/>
      <c r="G198" s="71"/>
      <c r="H198" s="63"/>
    </row>
    <row r="199" spans="2:8" x14ac:dyDescent="0.35">
      <c r="B199" s="73"/>
      <c r="C199" t="str">
        <f t="shared" si="9"/>
        <v/>
      </c>
      <c r="D199" s="79" t="str">
        <f>IFERROR(IF(data!P215=0,"",data!P215),"")</f>
        <v/>
      </c>
      <c r="E199" s="61"/>
      <c r="G199" s="71"/>
      <c r="H199" s="63"/>
    </row>
    <row r="200" spans="2:8" x14ac:dyDescent="0.35">
      <c r="B200" s="73"/>
      <c r="C200" t="str">
        <f t="shared" si="9"/>
        <v/>
      </c>
      <c r="D200" s="79" t="str">
        <f>IFERROR(IF(data!P216=0,"",data!P216),"")</f>
        <v/>
      </c>
      <c r="E200" s="61"/>
      <c r="G200" s="71"/>
      <c r="H200" s="63"/>
    </row>
    <row r="201" spans="2:8" x14ac:dyDescent="0.35">
      <c r="B201" s="73"/>
      <c r="C201" t="str">
        <f t="shared" si="9"/>
        <v/>
      </c>
      <c r="D201" s="79" t="str">
        <f>IFERROR(IF(data!P217=0,"",data!P217),"")</f>
        <v/>
      </c>
      <c r="E201" s="61"/>
      <c r="G201" s="71"/>
      <c r="H201" s="63"/>
    </row>
    <row r="202" spans="2:8" x14ac:dyDescent="0.35">
      <c r="B202" s="73"/>
      <c r="C202" t="str">
        <f t="shared" si="9"/>
        <v/>
      </c>
      <c r="D202" s="79" t="str">
        <f>IFERROR(IF(data!P218=0,"",data!P218),"")</f>
        <v/>
      </c>
      <c r="E202" s="61"/>
      <c r="G202" s="71"/>
      <c r="H202" s="63"/>
    </row>
    <row r="203" spans="2:8" x14ac:dyDescent="0.35">
      <c r="B203" s="73"/>
      <c r="C203" t="str">
        <f t="shared" si="9"/>
        <v/>
      </c>
      <c r="D203" s="79" t="str">
        <f>IFERROR(IF(data!P219=0,"",data!P219),"")</f>
        <v/>
      </c>
      <c r="E203" s="61"/>
      <c r="G203" s="71"/>
      <c r="H203" s="63"/>
    </row>
    <row r="204" spans="2:8" x14ac:dyDescent="0.35">
      <c r="B204" s="73"/>
      <c r="C204" t="str">
        <f t="shared" si="9"/>
        <v/>
      </c>
      <c r="D204" s="79" t="str">
        <f>IFERROR(IF(data!P220=0,"",data!P220),"")</f>
        <v/>
      </c>
      <c r="E204" s="61"/>
      <c r="G204" s="71"/>
      <c r="H204" s="63"/>
    </row>
    <row r="205" spans="2:8" x14ac:dyDescent="0.35">
      <c r="B205" s="73"/>
      <c r="C205" t="str">
        <f t="shared" si="9"/>
        <v/>
      </c>
      <c r="D205" s="79" t="str">
        <f>IFERROR(IF(data!P221=0,"",data!P221),"")</f>
        <v/>
      </c>
      <c r="E205" s="61"/>
      <c r="G205" s="71"/>
      <c r="H205" s="63"/>
    </row>
    <row r="206" spans="2:8" x14ac:dyDescent="0.35">
      <c r="B206" s="73"/>
      <c r="C206" t="str">
        <f t="shared" si="9"/>
        <v/>
      </c>
      <c r="D206" s="79" t="str">
        <f>IFERROR(IF(data!P222=0,"",data!P222),"")</f>
        <v/>
      </c>
      <c r="E206" s="61"/>
      <c r="G206" s="71"/>
      <c r="H206" s="63"/>
    </row>
    <row r="207" spans="2:8" x14ac:dyDescent="0.35">
      <c r="B207" s="73"/>
      <c r="C207" t="str">
        <f t="shared" si="9"/>
        <v/>
      </c>
      <c r="D207" s="79" t="str">
        <f>IFERROR(IF(data!P223=0,"",data!P223),"")</f>
        <v/>
      </c>
      <c r="E207" s="61"/>
      <c r="G207" s="71"/>
      <c r="H207" s="63"/>
    </row>
    <row r="208" spans="2:8" x14ac:dyDescent="0.35">
      <c r="B208" s="73"/>
      <c r="C208" t="str">
        <f t="shared" si="9"/>
        <v/>
      </c>
      <c r="D208" s="79" t="str">
        <f>IFERROR(IF(data!P224=0,"",data!P224),"")</f>
        <v/>
      </c>
      <c r="E208" s="61"/>
      <c r="G208" s="71"/>
      <c r="H208" s="63"/>
    </row>
    <row r="209" spans="2:8" x14ac:dyDescent="0.35">
      <c r="B209" s="73"/>
      <c r="C209" t="str">
        <f t="shared" si="9"/>
        <v/>
      </c>
      <c r="D209" s="79" t="str">
        <f>IFERROR(IF(data!P225=0,"",data!P225),"")</f>
        <v/>
      </c>
      <c r="E209" s="61"/>
      <c r="G209" s="71"/>
      <c r="H209" s="63"/>
    </row>
    <row r="210" spans="2:8" x14ac:dyDescent="0.35">
      <c r="B210" s="73"/>
      <c r="C210" t="str">
        <f t="shared" si="9"/>
        <v/>
      </c>
      <c r="D210" s="79" t="str">
        <f>IFERROR(IF(data!P226=0,"",data!P226),"")</f>
        <v/>
      </c>
      <c r="E210" s="61"/>
      <c r="G210" s="71"/>
      <c r="H210" s="63"/>
    </row>
    <row r="211" spans="2:8" x14ac:dyDescent="0.35">
      <c r="B211" s="73"/>
      <c r="C211" t="str">
        <f t="shared" si="9"/>
        <v/>
      </c>
      <c r="D211" s="79" t="str">
        <f>IFERROR(IF(data!P227=0,"",data!P227),"")</f>
        <v/>
      </c>
      <c r="E211" s="61"/>
      <c r="G211" s="71"/>
      <c r="H211" s="63"/>
    </row>
    <row r="212" spans="2:8" x14ac:dyDescent="0.35">
      <c r="B212" s="73"/>
      <c r="C212" t="str">
        <f t="shared" si="9"/>
        <v/>
      </c>
      <c r="D212" s="79" t="str">
        <f>IFERROR(IF(data!P228=0,"",data!P228),"")</f>
        <v/>
      </c>
      <c r="E212" s="61"/>
      <c r="G212" s="71"/>
      <c r="H212" s="63"/>
    </row>
    <row r="213" spans="2:8" x14ac:dyDescent="0.35">
      <c r="B213" s="73"/>
      <c r="C213" t="str">
        <f t="shared" si="9"/>
        <v/>
      </c>
      <c r="D213" s="79" t="str">
        <f>IFERROR(IF(data!P229=0,"",data!P229),"")</f>
        <v/>
      </c>
      <c r="E213" s="61"/>
      <c r="G213" s="71"/>
      <c r="H213" s="63"/>
    </row>
    <row r="214" spans="2:8" x14ac:dyDescent="0.35">
      <c r="B214" s="73"/>
      <c r="C214" t="str">
        <f t="shared" si="9"/>
        <v/>
      </c>
      <c r="D214" s="79" t="str">
        <f>IFERROR(IF(data!P230=0,"",data!P230),"")</f>
        <v/>
      </c>
      <c r="E214" s="61"/>
      <c r="G214" s="71"/>
      <c r="H214" s="63"/>
    </row>
    <row r="215" spans="2:8" x14ac:dyDescent="0.35">
      <c r="B215" s="73"/>
      <c r="C215" t="str">
        <f t="shared" si="9"/>
        <v/>
      </c>
      <c r="D215" s="79" t="str">
        <f>IFERROR(IF(data!P231=0,"",data!P231),"")</f>
        <v/>
      </c>
      <c r="E215" s="61"/>
      <c r="G215" s="71"/>
      <c r="H215" s="63"/>
    </row>
    <row r="216" spans="2:8" x14ac:dyDescent="0.35">
      <c r="B216" s="73"/>
      <c r="C216" t="str">
        <f t="shared" si="9"/>
        <v/>
      </c>
      <c r="D216" s="79" t="str">
        <f>IFERROR(IF(data!P232=0,"",data!P232),"")</f>
        <v/>
      </c>
      <c r="E216" s="61"/>
      <c r="G216" s="71"/>
      <c r="H216" s="63"/>
    </row>
    <row r="217" spans="2:8" x14ac:dyDescent="0.35">
      <c r="B217" s="73"/>
      <c r="C217" t="str">
        <f t="shared" si="9"/>
        <v/>
      </c>
      <c r="D217" s="79" t="str">
        <f>IFERROR(IF(data!P233=0,"",data!P233),"")</f>
        <v/>
      </c>
      <c r="E217" s="61"/>
      <c r="G217" s="71"/>
      <c r="H217" s="63"/>
    </row>
    <row r="218" spans="2:8" x14ac:dyDescent="0.35">
      <c r="B218" s="73"/>
      <c r="C218" t="str">
        <f t="shared" si="9"/>
        <v/>
      </c>
      <c r="D218" s="79" t="str">
        <f>IFERROR(IF(data!P234=0,"",data!P234),"")</f>
        <v/>
      </c>
      <c r="E218" s="61"/>
      <c r="G218" s="71"/>
      <c r="H218" s="63"/>
    </row>
    <row r="219" spans="2:8" x14ac:dyDescent="0.35">
      <c r="B219" s="73"/>
      <c r="C219" t="str">
        <f t="shared" si="9"/>
        <v/>
      </c>
      <c r="D219" s="79" t="str">
        <f>IFERROR(IF(data!P235=0,"",data!P235),"")</f>
        <v/>
      </c>
      <c r="E219" s="61"/>
      <c r="G219" s="71"/>
      <c r="H219" s="63"/>
    </row>
    <row r="220" spans="2:8" x14ac:dyDescent="0.35">
      <c r="B220" s="73"/>
      <c r="C220" t="str">
        <f t="shared" si="9"/>
        <v/>
      </c>
      <c r="D220" s="79" t="str">
        <f>IFERROR(IF(data!P236=0,"",data!P236),"")</f>
        <v/>
      </c>
      <c r="E220" s="61"/>
      <c r="G220" s="71"/>
      <c r="H220" s="63"/>
    </row>
    <row r="221" spans="2:8" x14ac:dyDescent="0.35">
      <c r="B221" s="73"/>
      <c r="C221" t="str">
        <f t="shared" si="9"/>
        <v/>
      </c>
      <c r="D221" s="79" t="str">
        <f>IFERROR(IF(data!P237=0,"",data!P237),"")</f>
        <v/>
      </c>
      <c r="E221" s="61"/>
      <c r="G221" s="71"/>
      <c r="H221" s="63"/>
    </row>
    <row r="222" spans="2:8" x14ac:dyDescent="0.35">
      <c r="B222" s="73"/>
      <c r="C222" t="str">
        <f t="shared" si="9"/>
        <v/>
      </c>
      <c r="D222" s="79" t="str">
        <f>IFERROR(IF(data!P238=0,"",data!P238),"")</f>
        <v/>
      </c>
      <c r="E222" s="61"/>
      <c r="G222" s="71"/>
      <c r="H222" s="63"/>
    </row>
    <row r="223" spans="2:8" x14ac:dyDescent="0.35">
      <c r="B223" s="73"/>
      <c r="C223" t="str">
        <f t="shared" si="9"/>
        <v/>
      </c>
      <c r="D223" s="79" t="str">
        <f>IFERROR(IF(data!P239=0,"",data!P239),"")</f>
        <v/>
      </c>
      <c r="E223" s="61"/>
      <c r="G223" s="71"/>
      <c r="H223" s="63"/>
    </row>
    <row r="224" spans="2:8" x14ac:dyDescent="0.35">
      <c r="B224" s="73"/>
      <c r="C224" t="str">
        <f t="shared" si="9"/>
        <v/>
      </c>
      <c r="D224" s="79" t="str">
        <f>IFERROR(IF(data!P240=0,"",data!P240),"")</f>
        <v/>
      </c>
      <c r="E224" s="61"/>
      <c r="G224" s="71"/>
      <c r="H224" s="63"/>
    </row>
    <row r="225" spans="2:8" x14ac:dyDescent="0.35">
      <c r="B225" s="73"/>
      <c r="C225" t="str">
        <f t="shared" si="9"/>
        <v/>
      </c>
      <c r="D225" s="79" t="str">
        <f>IFERROR(IF(data!P241=0,"",data!P241),"")</f>
        <v/>
      </c>
      <c r="E225" s="61"/>
      <c r="G225" s="71"/>
      <c r="H225" s="63"/>
    </row>
    <row r="226" spans="2:8" x14ac:dyDescent="0.35">
      <c r="B226" s="73"/>
      <c r="C226" t="str">
        <f t="shared" si="9"/>
        <v/>
      </c>
      <c r="D226" s="79" t="str">
        <f>IFERROR(IF(data!P242=0,"",data!P242),"")</f>
        <v/>
      </c>
      <c r="E226" s="61"/>
      <c r="G226" s="71"/>
      <c r="H226" s="63"/>
    </row>
    <row r="227" spans="2:8" x14ac:dyDescent="0.35">
      <c r="B227" s="73"/>
      <c r="C227" t="str">
        <f t="shared" si="9"/>
        <v/>
      </c>
      <c r="D227" s="79" t="str">
        <f>IFERROR(IF(data!P243=0,"",data!P243),"")</f>
        <v/>
      </c>
      <c r="E227" s="61"/>
      <c r="G227" s="71"/>
      <c r="H227" s="63"/>
    </row>
    <row r="228" spans="2:8" x14ac:dyDescent="0.35">
      <c r="B228" s="73"/>
      <c r="C228" t="str">
        <f t="shared" si="9"/>
        <v/>
      </c>
      <c r="D228" s="79" t="str">
        <f>IFERROR(IF(data!P244=0,"",data!P244),"")</f>
        <v/>
      </c>
      <c r="E228" s="61"/>
      <c r="G228" s="71"/>
      <c r="H228" s="63"/>
    </row>
    <row r="229" spans="2:8" x14ac:dyDescent="0.35">
      <c r="B229" s="73"/>
      <c r="C229" t="str">
        <f t="shared" si="9"/>
        <v/>
      </c>
      <c r="D229" s="79" t="str">
        <f>IFERROR(IF(data!P245=0,"",data!P245),"")</f>
        <v/>
      </c>
      <c r="E229" s="61"/>
      <c r="G229" s="71"/>
      <c r="H229" s="63"/>
    </row>
    <row r="230" spans="2:8" x14ac:dyDescent="0.35">
      <c r="B230" s="73"/>
      <c r="C230" t="str">
        <f t="shared" si="9"/>
        <v/>
      </c>
      <c r="D230" s="79" t="str">
        <f>IFERROR(IF(data!P246=0,"",data!P246),"")</f>
        <v/>
      </c>
      <c r="E230" s="61"/>
      <c r="G230" s="71"/>
      <c r="H230" s="63"/>
    </row>
    <row r="231" spans="2:8" x14ac:dyDescent="0.35">
      <c r="B231" s="73"/>
      <c r="C231" t="str">
        <f t="shared" si="9"/>
        <v/>
      </c>
      <c r="D231" s="79" t="str">
        <f>IFERROR(IF(data!P247=0,"",data!P247),"")</f>
        <v/>
      </c>
      <c r="E231" s="61"/>
      <c r="G231" s="71"/>
      <c r="H231" s="63"/>
    </row>
    <row r="232" spans="2:8" x14ac:dyDescent="0.35">
      <c r="B232" s="73"/>
      <c r="C232" t="str">
        <f t="shared" si="9"/>
        <v/>
      </c>
      <c r="D232" s="79" t="str">
        <f>IFERROR(IF(data!P248=0,"",data!P248),"")</f>
        <v/>
      </c>
      <c r="E232" s="61"/>
      <c r="G232" s="71"/>
      <c r="H232" s="63"/>
    </row>
    <row r="233" spans="2:8" x14ac:dyDescent="0.35">
      <c r="B233" s="73"/>
      <c r="C233" t="str">
        <f t="shared" si="9"/>
        <v/>
      </c>
      <c r="D233" s="79" t="str">
        <f>IFERROR(IF(data!P249=0,"",data!P249),"")</f>
        <v/>
      </c>
      <c r="E233" s="61"/>
      <c r="G233" s="71"/>
      <c r="H233" s="63"/>
    </row>
    <row r="234" spans="2:8" x14ac:dyDescent="0.35">
      <c r="B234" s="73"/>
      <c r="C234" t="str">
        <f t="shared" si="9"/>
        <v/>
      </c>
      <c r="D234" s="79" t="str">
        <f>IFERROR(IF(data!P250=0,"",data!P250),"")</f>
        <v/>
      </c>
      <c r="E234" s="61"/>
      <c r="G234" s="71"/>
      <c r="H234" s="63"/>
    </row>
    <row r="235" spans="2:8" x14ac:dyDescent="0.35">
      <c r="B235" s="73"/>
      <c r="C235" t="str">
        <f t="shared" ref="C235:C298" si="10">IF(ISNUMBER(E281),"T" &amp; (ROW()-1) &amp; ":","")</f>
        <v/>
      </c>
      <c r="D235" s="79" t="str">
        <f>IFERROR(IF(data!P251=0,"",data!P251),"")</f>
        <v/>
      </c>
      <c r="E235" s="61"/>
      <c r="G235" s="71"/>
      <c r="H235" s="63"/>
    </row>
    <row r="236" spans="2:8" x14ac:dyDescent="0.35">
      <c r="B236" s="73"/>
      <c r="C236" t="str">
        <f t="shared" si="10"/>
        <v/>
      </c>
      <c r="D236" s="79" t="str">
        <f>IFERROR(IF(data!P252=0,"",data!P252),"")</f>
        <v/>
      </c>
      <c r="E236" s="61"/>
      <c r="G236" s="71"/>
      <c r="H236" s="63"/>
    </row>
    <row r="237" spans="2:8" x14ac:dyDescent="0.35">
      <c r="B237" s="73"/>
      <c r="C237" t="str">
        <f t="shared" si="10"/>
        <v/>
      </c>
      <c r="D237" s="79" t="str">
        <f>IFERROR(IF(data!P253=0,"",data!P253),"")</f>
        <v/>
      </c>
      <c r="E237" s="61"/>
      <c r="G237" s="71"/>
      <c r="H237" s="63"/>
    </row>
    <row r="238" spans="2:8" x14ac:dyDescent="0.35">
      <c r="B238" s="73"/>
      <c r="C238" t="str">
        <f t="shared" si="10"/>
        <v/>
      </c>
      <c r="D238" s="79" t="str">
        <f>IFERROR(IF(data!P254=0,"",data!P254),"")</f>
        <v/>
      </c>
      <c r="E238" s="61"/>
      <c r="G238" s="71"/>
      <c r="H238" s="63"/>
    </row>
    <row r="239" spans="2:8" x14ac:dyDescent="0.35">
      <c r="B239" s="73"/>
      <c r="C239" t="str">
        <f t="shared" si="10"/>
        <v/>
      </c>
      <c r="D239" s="79" t="str">
        <f>IFERROR(IF(data!P255=0,"",data!P255),"")</f>
        <v/>
      </c>
      <c r="E239" s="61"/>
      <c r="G239" s="71"/>
      <c r="H239" s="63"/>
    </row>
    <row r="240" spans="2:8" x14ac:dyDescent="0.35">
      <c r="B240" s="73"/>
      <c r="C240" t="str">
        <f t="shared" si="10"/>
        <v/>
      </c>
      <c r="D240" s="79" t="str">
        <f>IFERROR(IF(data!P256=0,"",data!P256),"")</f>
        <v/>
      </c>
      <c r="E240" s="61"/>
      <c r="G240" s="71"/>
      <c r="H240" s="63"/>
    </row>
    <row r="241" spans="2:8" x14ac:dyDescent="0.35">
      <c r="B241" s="73"/>
      <c r="C241" t="str">
        <f t="shared" si="10"/>
        <v/>
      </c>
      <c r="D241" s="79" t="str">
        <f>IFERROR(IF(data!P257=0,"",data!P257),"")</f>
        <v/>
      </c>
      <c r="E241" s="61"/>
      <c r="G241" s="71"/>
      <c r="H241" s="63"/>
    </row>
    <row r="242" spans="2:8" x14ac:dyDescent="0.35">
      <c r="B242" s="73"/>
      <c r="C242" t="str">
        <f t="shared" si="10"/>
        <v/>
      </c>
      <c r="D242" s="79" t="str">
        <f>IFERROR(IF(data!P258=0,"",data!P258),"")</f>
        <v/>
      </c>
      <c r="E242" s="61"/>
      <c r="G242" s="71"/>
      <c r="H242" s="63"/>
    </row>
    <row r="243" spans="2:8" x14ac:dyDescent="0.35">
      <c r="B243" s="73"/>
      <c r="C243" t="str">
        <f t="shared" si="10"/>
        <v/>
      </c>
      <c r="D243" s="79" t="str">
        <f>IFERROR(IF(data!P259=0,"",data!P259),"")</f>
        <v/>
      </c>
      <c r="E243" s="61"/>
      <c r="G243" s="71"/>
      <c r="H243" s="63"/>
    </row>
    <row r="244" spans="2:8" x14ac:dyDescent="0.35">
      <c r="B244" s="73"/>
      <c r="C244" t="str">
        <f t="shared" si="10"/>
        <v/>
      </c>
      <c r="D244" s="79" t="str">
        <f>IFERROR(IF(data!P260=0,"",data!P260),"")</f>
        <v/>
      </c>
      <c r="E244" s="61"/>
      <c r="G244" s="71"/>
      <c r="H244" s="63"/>
    </row>
    <row r="245" spans="2:8" x14ac:dyDescent="0.35">
      <c r="B245" s="73"/>
      <c r="C245" t="str">
        <f t="shared" si="10"/>
        <v/>
      </c>
      <c r="D245" s="79" t="str">
        <f>IFERROR(IF(data!P261=0,"",data!P261),"")</f>
        <v/>
      </c>
      <c r="E245" s="61"/>
      <c r="G245" s="71"/>
      <c r="H245" s="63"/>
    </row>
    <row r="246" spans="2:8" x14ac:dyDescent="0.35">
      <c r="B246" s="73"/>
      <c r="C246" t="str">
        <f t="shared" si="10"/>
        <v/>
      </c>
      <c r="D246" s="79" t="str">
        <f>IFERROR(IF(data!P262=0,"",data!P262),"")</f>
        <v/>
      </c>
      <c r="E246" s="61"/>
      <c r="G246" s="71"/>
      <c r="H246" s="63"/>
    </row>
    <row r="247" spans="2:8" x14ac:dyDescent="0.35">
      <c r="B247" s="73"/>
      <c r="C247" t="str">
        <f t="shared" si="10"/>
        <v/>
      </c>
      <c r="D247" s="79" t="str">
        <f>IFERROR(IF(data!P263=0,"",data!P263),"")</f>
        <v/>
      </c>
      <c r="E247" s="61"/>
      <c r="G247" s="71"/>
      <c r="H247" s="63"/>
    </row>
    <row r="248" spans="2:8" x14ac:dyDescent="0.35">
      <c r="B248" s="73"/>
      <c r="C248" t="str">
        <f t="shared" si="10"/>
        <v/>
      </c>
      <c r="D248" s="79" t="str">
        <f>IFERROR(IF(data!P264=0,"",data!P264),"")</f>
        <v/>
      </c>
      <c r="E248" s="61"/>
      <c r="G248" s="71"/>
      <c r="H248" s="63"/>
    </row>
    <row r="249" spans="2:8" x14ac:dyDescent="0.35">
      <c r="B249" s="73"/>
      <c r="C249" t="str">
        <f t="shared" si="10"/>
        <v/>
      </c>
      <c r="D249" s="79" t="str">
        <f>IFERROR(IF(data!P265=0,"",data!P265),"")</f>
        <v/>
      </c>
      <c r="E249" s="61"/>
      <c r="G249" s="71"/>
      <c r="H249" s="63"/>
    </row>
    <row r="250" spans="2:8" x14ac:dyDescent="0.35">
      <c r="B250" s="73"/>
      <c r="C250" t="str">
        <f t="shared" si="10"/>
        <v/>
      </c>
      <c r="D250" s="79" t="str">
        <f>IFERROR(IF(data!P266=0,"",data!P266),"")</f>
        <v/>
      </c>
      <c r="E250" s="61"/>
      <c r="G250" s="71"/>
      <c r="H250" s="63"/>
    </row>
    <row r="251" spans="2:8" x14ac:dyDescent="0.35">
      <c r="B251" s="73"/>
      <c r="C251" t="str">
        <f t="shared" si="10"/>
        <v/>
      </c>
      <c r="D251" s="79" t="str">
        <f>IFERROR(IF(data!P267=0,"",data!P267),"")</f>
        <v/>
      </c>
      <c r="E251" s="61"/>
      <c r="G251" s="71"/>
      <c r="H251" s="63"/>
    </row>
    <row r="252" spans="2:8" x14ac:dyDescent="0.35">
      <c r="B252" s="73"/>
      <c r="C252" t="str">
        <f t="shared" si="10"/>
        <v/>
      </c>
      <c r="D252" s="79" t="str">
        <f>IFERROR(IF(data!P268=0,"",data!P268),"")</f>
        <v/>
      </c>
      <c r="E252" s="61"/>
      <c r="G252" s="71"/>
      <c r="H252" s="63"/>
    </row>
    <row r="253" spans="2:8" x14ac:dyDescent="0.35">
      <c r="B253" s="73"/>
      <c r="C253" t="str">
        <f t="shared" si="10"/>
        <v/>
      </c>
      <c r="D253" s="79" t="str">
        <f>IFERROR(IF(data!P269=0,"",data!P269),"")</f>
        <v/>
      </c>
      <c r="E253" s="61"/>
      <c r="G253" s="71"/>
      <c r="H253" s="63"/>
    </row>
    <row r="254" spans="2:8" x14ac:dyDescent="0.35">
      <c r="B254" s="73"/>
      <c r="C254" t="str">
        <f t="shared" si="10"/>
        <v/>
      </c>
      <c r="D254" s="79" t="str">
        <f>IFERROR(IF(data!P270=0,"",data!P270),"")</f>
        <v/>
      </c>
      <c r="E254" s="61"/>
      <c r="G254" s="71"/>
      <c r="H254" s="63"/>
    </row>
    <row r="255" spans="2:8" x14ac:dyDescent="0.35">
      <c r="B255" s="73"/>
      <c r="C255" t="str">
        <f t="shared" si="10"/>
        <v/>
      </c>
      <c r="D255" s="79" t="str">
        <f>IFERROR(IF(data!P271=0,"",data!P271),"")</f>
        <v/>
      </c>
      <c r="E255" s="61"/>
      <c r="G255" s="71"/>
      <c r="H255" s="63"/>
    </row>
    <row r="256" spans="2:8" x14ac:dyDescent="0.35">
      <c r="B256" s="73"/>
      <c r="C256" t="str">
        <f t="shared" si="10"/>
        <v/>
      </c>
      <c r="D256" s="79" t="str">
        <f>IFERROR(IF(data!P272=0,"",data!P272),"")</f>
        <v/>
      </c>
      <c r="E256" s="61"/>
      <c r="G256" s="71"/>
      <c r="H256" s="63"/>
    </row>
    <row r="257" spans="2:8" x14ac:dyDescent="0.35">
      <c r="B257" s="73"/>
      <c r="C257" t="str">
        <f t="shared" si="10"/>
        <v/>
      </c>
      <c r="D257" s="79" t="str">
        <f>IFERROR(IF(data!P273=0,"",data!P273),"")</f>
        <v/>
      </c>
      <c r="E257" s="61"/>
      <c r="G257" s="71"/>
      <c r="H257" s="63"/>
    </row>
    <row r="258" spans="2:8" x14ac:dyDescent="0.35">
      <c r="B258" s="73"/>
      <c r="C258" t="str">
        <f t="shared" si="10"/>
        <v/>
      </c>
      <c r="D258" s="79" t="str">
        <f>IFERROR(IF(data!P274=0,"",data!P274),"")</f>
        <v/>
      </c>
      <c r="E258" s="61"/>
      <c r="G258" s="71"/>
      <c r="H258" s="63"/>
    </row>
    <row r="259" spans="2:8" x14ac:dyDescent="0.35">
      <c r="B259" s="73"/>
      <c r="C259" t="str">
        <f t="shared" si="10"/>
        <v/>
      </c>
      <c r="D259" s="79" t="str">
        <f>IFERROR(IF(data!P275=0,"",data!P275),"")</f>
        <v/>
      </c>
      <c r="E259" s="61"/>
      <c r="G259" s="71"/>
      <c r="H259" s="63"/>
    </row>
    <row r="260" spans="2:8" x14ac:dyDescent="0.35">
      <c r="B260" s="73"/>
      <c r="C260" t="str">
        <f t="shared" si="10"/>
        <v/>
      </c>
      <c r="D260" s="79" t="str">
        <f>IFERROR(IF(data!P276=0,"",data!P276),"")</f>
        <v/>
      </c>
      <c r="E260" s="61"/>
      <c r="G260" s="71"/>
      <c r="H260" s="63"/>
    </row>
    <row r="261" spans="2:8" x14ac:dyDescent="0.35">
      <c r="B261" s="73"/>
      <c r="C261" t="str">
        <f t="shared" si="10"/>
        <v/>
      </c>
      <c r="D261" s="79" t="str">
        <f>IFERROR(IF(data!P277=0,"",data!P277),"")</f>
        <v/>
      </c>
      <c r="E261" s="61"/>
      <c r="G261" s="71"/>
      <c r="H261" s="63"/>
    </row>
    <row r="262" spans="2:8" x14ac:dyDescent="0.35">
      <c r="B262" s="73"/>
      <c r="C262" t="str">
        <f t="shared" si="10"/>
        <v/>
      </c>
      <c r="D262" s="79" t="str">
        <f>IFERROR(IF(data!P278=0,"",data!P278),"")</f>
        <v/>
      </c>
      <c r="E262" s="61"/>
      <c r="G262" s="71"/>
      <c r="H262" s="63"/>
    </row>
    <row r="263" spans="2:8" x14ac:dyDescent="0.35">
      <c r="B263" s="73"/>
      <c r="C263" t="str">
        <f t="shared" si="10"/>
        <v/>
      </c>
      <c r="D263" s="79" t="str">
        <f>IFERROR(IF(data!P279=0,"",data!P279),"")</f>
        <v/>
      </c>
      <c r="E263" s="61"/>
      <c r="G263" s="71"/>
      <c r="H263" s="63"/>
    </row>
    <row r="264" spans="2:8" x14ac:dyDescent="0.35">
      <c r="B264" s="73"/>
      <c r="C264" t="str">
        <f t="shared" si="10"/>
        <v/>
      </c>
      <c r="D264" s="79" t="str">
        <f>IFERROR(IF(data!P280=0,"",data!P280),"")</f>
        <v/>
      </c>
      <c r="E264" s="61"/>
      <c r="G264" s="71"/>
      <c r="H264" s="63"/>
    </row>
    <row r="265" spans="2:8" x14ac:dyDescent="0.35">
      <c r="B265" s="73"/>
      <c r="C265" t="str">
        <f t="shared" si="10"/>
        <v/>
      </c>
      <c r="D265" s="79" t="str">
        <f>IFERROR(IF(data!P281=0,"",data!P281),"")</f>
        <v/>
      </c>
      <c r="E265" s="61"/>
      <c r="G265" s="71"/>
      <c r="H265" s="63"/>
    </row>
    <row r="266" spans="2:8" x14ac:dyDescent="0.35">
      <c r="B266" s="73"/>
      <c r="C266" t="str">
        <f t="shared" si="10"/>
        <v/>
      </c>
      <c r="D266" s="79" t="str">
        <f>IFERROR(IF(data!P282=0,"",data!P282),"")</f>
        <v/>
      </c>
      <c r="E266" s="61"/>
      <c r="G266" s="71"/>
      <c r="H266" s="63"/>
    </row>
    <row r="267" spans="2:8" x14ac:dyDescent="0.35">
      <c r="B267" s="73"/>
      <c r="C267" t="str">
        <f t="shared" si="10"/>
        <v/>
      </c>
      <c r="D267" s="79" t="str">
        <f>IFERROR(IF(data!P283=0,"",data!P283),"")</f>
        <v/>
      </c>
      <c r="E267" s="61"/>
      <c r="G267" s="71"/>
      <c r="H267" s="63"/>
    </row>
    <row r="268" spans="2:8" x14ac:dyDescent="0.35">
      <c r="B268" s="73"/>
      <c r="C268" t="str">
        <f t="shared" si="10"/>
        <v/>
      </c>
      <c r="D268" s="79" t="str">
        <f>IFERROR(IF(data!P284=0,"",data!P284),"")</f>
        <v/>
      </c>
      <c r="E268" s="61"/>
      <c r="G268" s="71"/>
      <c r="H268" s="63"/>
    </row>
    <row r="269" spans="2:8" x14ac:dyDescent="0.35">
      <c r="B269" s="73"/>
      <c r="C269" t="str">
        <f t="shared" si="10"/>
        <v/>
      </c>
      <c r="D269" s="79" t="str">
        <f>IFERROR(IF(data!P285=0,"",data!P285),"")</f>
        <v/>
      </c>
      <c r="E269" s="61"/>
      <c r="G269" s="71"/>
      <c r="H269" s="63"/>
    </row>
    <row r="270" spans="2:8" x14ac:dyDescent="0.35">
      <c r="B270" s="73"/>
      <c r="C270" t="str">
        <f t="shared" si="10"/>
        <v/>
      </c>
      <c r="D270" s="79" t="str">
        <f>IFERROR(IF(data!P286=0,"",data!P286),"")</f>
        <v/>
      </c>
      <c r="E270" s="61"/>
      <c r="G270" s="71"/>
      <c r="H270" s="63"/>
    </row>
    <row r="271" spans="2:8" x14ac:dyDescent="0.35">
      <c r="B271" s="73"/>
      <c r="C271" t="str">
        <f t="shared" si="10"/>
        <v/>
      </c>
      <c r="D271" s="79" t="str">
        <f>IFERROR(IF(data!P287=0,"",data!P287),"")</f>
        <v/>
      </c>
      <c r="E271" s="61"/>
      <c r="G271" s="71"/>
      <c r="H271" s="63"/>
    </row>
    <row r="272" spans="2:8" x14ac:dyDescent="0.35">
      <c r="B272" s="73"/>
      <c r="C272" t="str">
        <f t="shared" si="10"/>
        <v/>
      </c>
      <c r="D272" s="79" t="str">
        <f>IFERROR(IF(data!P288=0,"",data!P288),"")</f>
        <v/>
      </c>
      <c r="E272" s="61"/>
      <c r="G272" s="71"/>
      <c r="H272" s="63"/>
    </row>
    <row r="273" spans="2:8" x14ac:dyDescent="0.35">
      <c r="B273" s="73"/>
      <c r="C273" t="str">
        <f t="shared" si="10"/>
        <v/>
      </c>
      <c r="D273" s="79" t="str">
        <f>IFERROR(IF(data!P289=0,"",data!P289),"")</f>
        <v/>
      </c>
      <c r="E273" s="61"/>
      <c r="G273" s="71"/>
      <c r="H273" s="63"/>
    </row>
    <row r="274" spans="2:8" x14ac:dyDescent="0.35">
      <c r="B274" s="73"/>
      <c r="C274" t="str">
        <f t="shared" si="10"/>
        <v/>
      </c>
      <c r="D274" s="79" t="str">
        <f>IFERROR(IF(data!P290=0,"",data!P290),"")</f>
        <v/>
      </c>
      <c r="E274" s="61"/>
      <c r="G274" s="71"/>
      <c r="H274" s="63"/>
    </row>
    <row r="275" spans="2:8" x14ac:dyDescent="0.35">
      <c r="B275" s="73"/>
      <c r="C275" t="str">
        <f t="shared" si="10"/>
        <v/>
      </c>
      <c r="D275" s="79" t="str">
        <f>IFERROR(IF(data!P291=0,"",data!P291),"")</f>
        <v/>
      </c>
      <c r="E275" s="61"/>
      <c r="G275" s="71"/>
      <c r="H275" s="63"/>
    </row>
    <row r="276" spans="2:8" x14ac:dyDescent="0.35">
      <c r="B276" s="73"/>
      <c r="C276" t="str">
        <f t="shared" si="10"/>
        <v/>
      </c>
      <c r="D276" s="79" t="str">
        <f>IFERROR(IF(data!P292=0,"",data!P292),"")</f>
        <v/>
      </c>
      <c r="E276" s="61"/>
      <c r="G276" s="71"/>
      <c r="H276" s="63"/>
    </row>
    <row r="277" spans="2:8" x14ac:dyDescent="0.35">
      <c r="B277" s="73"/>
      <c r="C277" t="str">
        <f t="shared" si="10"/>
        <v/>
      </c>
      <c r="D277" s="79" t="str">
        <f>IFERROR(IF(data!P293=0,"",data!P293),"")</f>
        <v/>
      </c>
      <c r="E277" s="61"/>
      <c r="G277" s="71"/>
      <c r="H277" s="63"/>
    </row>
    <row r="278" spans="2:8" x14ac:dyDescent="0.35">
      <c r="B278" s="73"/>
      <c r="C278" t="str">
        <f t="shared" si="10"/>
        <v/>
      </c>
      <c r="D278" s="79" t="str">
        <f>IFERROR(IF(data!P294=0,"",data!P294),"")</f>
        <v/>
      </c>
      <c r="E278" s="61"/>
      <c r="G278" s="71"/>
      <c r="H278" s="63"/>
    </row>
    <row r="279" spans="2:8" x14ac:dyDescent="0.35">
      <c r="B279" s="73"/>
      <c r="C279" t="str">
        <f t="shared" si="10"/>
        <v/>
      </c>
      <c r="D279" s="79" t="str">
        <f>IFERROR(IF(data!P295=0,"",data!P295),"")</f>
        <v/>
      </c>
      <c r="E279" s="61"/>
      <c r="G279" s="71"/>
      <c r="H279" s="63"/>
    </row>
    <row r="280" spans="2:8" x14ac:dyDescent="0.35">
      <c r="B280" s="73"/>
      <c r="C280" t="str">
        <f t="shared" si="10"/>
        <v/>
      </c>
      <c r="D280" s="79" t="str">
        <f>IFERROR(IF(data!P296=0,"",data!P296),"")</f>
        <v/>
      </c>
      <c r="E280" s="61"/>
      <c r="G280" s="71"/>
      <c r="H280" s="63"/>
    </row>
    <row r="281" spans="2:8" x14ac:dyDescent="0.35">
      <c r="B281" s="73"/>
      <c r="C281" t="str">
        <f t="shared" si="10"/>
        <v/>
      </c>
      <c r="D281" s="79" t="str">
        <f>IFERROR(IF(data!P297=0,"",data!P297),"")</f>
        <v/>
      </c>
      <c r="E281" s="61"/>
      <c r="G281" s="71"/>
      <c r="H281" s="63"/>
    </row>
    <row r="282" spans="2:8" x14ac:dyDescent="0.35">
      <c r="B282" s="73"/>
      <c r="C282" t="str">
        <f t="shared" si="10"/>
        <v/>
      </c>
      <c r="D282" s="79" t="str">
        <f>IFERROR(IF(data!P298=0,"",data!P298),"")</f>
        <v/>
      </c>
      <c r="E282" s="61"/>
      <c r="G282" s="71"/>
      <c r="H282" s="63"/>
    </row>
    <row r="283" spans="2:8" x14ac:dyDescent="0.35">
      <c r="B283" s="73"/>
      <c r="C283" t="str">
        <f t="shared" si="10"/>
        <v/>
      </c>
      <c r="D283" s="79" t="str">
        <f>IFERROR(IF(data!P299=0,"",data!P299),"")</f>
        <v/>
      </c>
      <c r="E283" s="61"/>
      <c r="G283" s="71"/>
      <c r="H283" s="63"/>
    </row>
    <row r="284" spans="2:8" x14ac:dyDescent="0.35">
      <c r="B284" s="73"/>
      <c r="C284" t="str">
        <f t="shared" si="10"/>
        <v/>
      </c>
      <c r="D284" s="79" t="str">
        <f>IFERROR(IF(data!P300=0,"",data!P300),"")</f>
        <v/>
      </c>
      <c r="E284" s="61"/>
      <c r="G284" s="71"/>
      <c r="H284" s="63"/>
    </row>
    <row r="285" spans="2:8" x14ac:dyDescent="0.35">
      <c r="B285" s="73"/>
      <c r="C285" t="str">
        <f t="shared" si="10"/>
        <v/>
      </c>
      <c r="D285" s="79" t="str">
        <f>IFERROR(IF(data!P301=0,"",data!P301),"")</f>
        <v/>
      </c>
      <c r="E285" s="61"/>
      <c r="G285" s="71"/>
      <c r="H285" s="63"/>
    </row>
    <row r="286" spans="2:8" x14ac:dyDescent="0.35">
      <c r="B286" s="73"/>
      <c r="C286" t="str">
        <f t="shared" si="10"/>
        <v/>
      </c>
      <c r="D286" s="79" t="str">
        <f>IFERROR(IF(data!P302=0,"",data!P302),"")</f>
        <v/>
      </c>
      <c r="E286" s="61"/>
      <c r="G286" s="71"/>
      <c r="H286" s="63"/>
    </row>
    <row r="287" spans="2:8" x14ac:dyDescent="0.35">
      <c r="B287" s="73"/>
      <c r="C287" t="str">
        <f t="shared" si="10"/>
        <v/>
      </c>
      <c r="D287" s="79" t="str">
        <f>IFERROR(IF(data!P303=0,"",data!P303),"")</f>
        <v/>
      </c>
      <c r="E287" s="61"/>
      <c r="G287" s="71"/>
      <c r="H287" s="63"/>
    </row>
    <row r="288" spans="2:8" x14ac:dyDescent="0.35">
      <c r="B288" s="73"/>
      <c r="C288" t="str">
        <f t="shared" si="10"/>
        <v/>
      </c>
      <c r="D288" s="79" t="str">
        <f>IFERROR(IF(data!P304=0,"",data!P304),"")</f>
        <v/>
      </c>
      <c r="E288" s="61"/>
      <c r="G288" s="71"/>
      <c r="H288" s="63"/>
    </row>
    <row r="289" spans="2:8" x14ac:dyDescent="0.35">
      <c r="B289" s="73"/>
      <c r="C289" t="str">
        <f t="shared" si="10"/>
        <v/>
      </c>
      <c r="D289" s="79" t="str">
        <f>IFERROR(IF(data!P305=0,"",data!P305),"")</f>
        <v/>
      </c>
      <c r="E289" s="61"/>
      <c r="G289" s="71"/>
      <c r="H289" s="63"/>
    </row>
    <row r="290" spans="2:8" x14ac:dyDescent="0.35">
      <c r="B290" s="73"/>
      <c r="C290" t="str">
        <f t="shared" si="10"/>
        <v/>
      </c>
      <c r="D290" s="79" t="str">
        <f>IFERROR(IF(data!P306=0,"",data!P306),"")</f>
        <v/>
      </c>
      <c r="E290" s="61"/>
      <c r="G290" s="71"/>
      <c r="H290" s="63"/>
    </row>
    <row r="291" spans="2:8" x14ac:dyDescent="0.35">
      <c r="B291" s="73"/>
      <c r="C291" t="str">
        <f t="shared" si="10"/>
        <v/>
      </c>
      <c r="D291" s="79" t="str">
        <f>IFERROR(IF(data!P307=0,"",data!P307),"")</f>
        <v/>
      </c>
      <c r="E291" s="61"/>
      <c r="G291" s="71"/>
      <c r="H291" s="63"/>
    </row>
    <row r="292" spans="2:8" x14ac:dyDescent="0.35">
      <c r="B292" s="73"/>
      <c r="C292" t="str">
        <f t="shared" si="10"/>
        <v/>
      </c>
      <c r="D292" s="79" t="str">
        <f>IFERROR(IF(data!P308=0,"",data!P308),"")</f>
        <v/>
      </c>
      <c r="E292" s="61"/>
      <c r="G292" s="71"/>
      <c r="H292" s="63"/>
    </row>
    <row r="293" spans="2:8" x14ac:dyDescent="0.35">
      <c r="B293" s="73"/>
      <c r="C293" t="str">
        <f t="shared" si="10"/>
        <v/>
      </c>
      <c r="D293" s="79" t="str">
        <f>IFERROR(IF(data!P309=0,"",data!P309),"")</f>
        <v/>
      </c>
      <c r="E293" s="61"/>
      <c r="G293" s="71"/>
      <c r="H293" s="63"/>
    </row>
    <row r="294" spans="2:8" x14ac:dyDescent="0.35">
      <c r="B294" s="73"/>
      <c r="C294" t="str">
        <f t="shared" si="10"/>
        <v/>
      </c>
      <c r="D294" s="79" t="str">
        <f>IFERROR(IF(data!P310=0,"",data!P310),"")</f>
        <v/>
      </c>
      <c r="E294" s="61"/>
      <c r="G294" s="71"/>
      <c r="H294" s="63"/>
    </row>
    <row r="295" spans="2:8" x14ac:dyDescent="0.35">
      <c r="B295" s="73"/>
      <c r="C295" t="str">
        <f t="shared" si="10"/>
        <v/>
      </c>
      <c r="D295" s="79" t="str">
        <f>IFERROR(IF(data!P311=0,"",data!P311),"")</f>
        <v/>
      </c>
      <c r="E295" s="61"/>
      <c r="G295" s="71"/>
      <c r="H295" s="63"/>
    </row>
    <row r="296" spans="2:8" x14ac:dyDescent="0.35">
      <c r="B296" s="73"/>
      <c r="C296" t="str">
        <f t="shared" si="10"/>
        <v/>
      </c>
      <c r="D296" s="79" t="str">
        <f>IFERROR(IF(data!P312=0,"",data!P312),"")</f>
        <v/>
      </c>
      <c r="E296" s="61"/>
      <c r="G296" s="71"/>
      <c r="H296" s="63"/>
    </row>
    <row r="297" spans="2:8" x14ac:dyDescent="0.35">
      <c r="B297" s="73"/>
      <c r="C297" t="str">
        <f t="shared" si="10"/>
        <v/>
      </c>
      <c r="D297" s="79" t="str">
        <f>IFERROR(IF(data!P313=0,"",data!P313),"")</f>
        <v/>
      </c>
      <c r="E297" s="61"/>
      <c r="G297" s="71"/>
      <c r="H297" s="63"/>
    </row>
    <row r="298" spans="2:8" x14ac:dyDescent="0.35">
      <c r="B298" s="73"/>
      <c r="C298" t="str">
        <f t="shared" si="10"/>
        <v/>
      </c>
      <c r="D298" s="79" t="str">
        <f>IFERROR(IF(data!P314=0,"",data!P314),"")</f>
        <v/>
      </c>
      <c r="E298" s="61"/>
      <c r="G298" s="71"/>
      <c r="H298" s="63"/>
    </row>
    <row r="299" spans="2:8" x14ac:dyDescent="0.35">
      <c r="B299" s="73"/>
      <c r="C299" t="str">
        <f t="shared" ref="C299:C334" si="11">IF(ISNUMBER(E345),"T" &amp; (ROW()-1) &amp; ":","")</f>
        <v/>
      </c>
      <c r="D299" s="79" t="str">
        <f>IFERROR(IF(data!P315=0,"",data!P315),"")</f>
        <v/>
      </c>
      <c r="E299" s="61"/>
      <c r="G299" s="71"/>
      <c r="H299" s="63"/>
    </row>
    <row r="300" spans="2:8" x14ac:dyDescent="0.35">
      <c r="B300" s="73"/>
      <c r="C300" t="str">
        <f t="shared" si="11"/>
        <v/>
      </c>
      <c r="D300" s="79" t="str">
        <f>IFERROR(IF(data!P316=0,"",data!P316),"")</f>
        <v/>
      </c>
      <c r="E300" s="61"/>
      <c r="G300" s="71"/>
      <c r="H300" s="63"/>
    </row>
    <row r="301" spans="2:8" x14ac:dyDescent="0.35">
      <c r="B301" s="73"/>
      <c r="C301" t="str">
        <f t="shared" si="11"/>
        <v/>
      </c>
      <c r="D301" s="79" t="str">
        <f>IFERROR(IF(data!P317=0,"",data!P317),"")</f>
        <v/>
      </c>
      <c r="E301" s="61"/>
      <c r="G301" s="71"/>
      <c r="H301" s="63"/>
    </row>
    <row r="302" spans="2:8" x14ac:dyDescent="0.35">
      <c r="B302" s="73"/>
      <c r="C302" t="str">
        <f t="shared" si="11"/>
        <v/>
      </c>
      <c r="D302" s="79" t="str">
        <f>IFERROR(IF(data!P318=0,"",data!P318),"")</f>
        <v/>
      </c>
      <c r="E302" s="61"/>
      <c r="G302" s="71"/>
      <c r="H302" s="63"/>
    </row>
    <row r="303" spans="2:8" x14ac:dyDescent="0.35">
      <c r="B303" s="73"/>
      <c r="C303" t="str">
        <f t="shared" si="11"/>
        <v/>
      </c>
      <c r="D303" s="79" t="str">
        <f>IFERROR(IF(data!P319=0,"",data!P319),"")</f>
        <v/>
      </c>
      <c r="E303" s="61"/>
      <c r="G303" s="71"/>
      <c r="H303" s="63"/>
    </row>
    <row r="304" spans="2:8" x14ac:dyDescent="0.35">
      <c r="B304" s="73"/>
      <c r="C304" t="str">
        <f t="shared" si="11"/>
        <v/>
      </c>
      <c r="D304" s="79" t="str">
        <f>IFERROR(IF(data!P320=0,"",data!P320),"")</f>
        <v/>
      </c>
      <c r="E304" s="61"/>
      <c r="G304" s="71"/>
      <c r="H304" s="63"/>
    </row>
    <row r="305" spans="2:8" x14ac:dyDescent="0.35">
      <c r="B305" s="73"/>
      <c r="C305" t="str">
        <f t="shared" si="11"/>
        <v/>
      </c>
      <c r="D305" s="79" t="str">
        <f>IFERROR(IF(data!P321=0,"",data!P321),"")</f>
        <v/>
      </c>
      <c r="E305" s="61"/>
      <c r="G305" s="71"/>
      <c r="H305" s="63"/>
    </row>
    <row r="306" spans="2:8" x14ac:dyDescent="0.35">
      <c r="B306" s="73"/>
      <c r="C306" t="str">
        <f t="shared" si="11"/>
        <v/>
      </c>
      <c r="D306" s="79" t="str">
        <f>IFERROR(IF(data!P322=0,"",data!P322),"")</f>
        <v/>
      </c>
      <c r="E306" s="61"/>
      <c r="G306" s="71"/>
      <c r="H306" s="63"/>
    </row>
    <row r="307" spans="2:8" x14ac:dyDescent="0.35">
      <c r="B307" s="73"/>
      <c r="C307" t="str">
        <f t="shared" si="11"/>
        <v/>
      </c>
      <c r="D307" s="79" t="str">
        <f>IFERROR(IF(data!P323=0,"",data!P323),"")</f>
        <v/>
      </c>
      <c r="E307" s="61"/>
      <c r="G307" s="71"/>
      <c r="H307" s="63"/>
    </row>
    <row r="308" spans="2:8" x14ac:dyDescent="0.35">
      <c r="B308" s="73"/>
      <c r="C308" t="str">
        <f t="shared" si="11"/>
        <v/>
      </c>
      <c r="D308" s="79" t="str">
        <f>IFERROR(IF(data!P324=0,"",data!P324),"")</f>
        <v/>
      </c>
      <c r="E308" s="61"/>
      <c r="G308" s="71"/>
      <c r="H308" s="63"/>
    </row>
    <row r="309" spans="2:8" x14ac:dyDescent="0.35">
      <c r="B309" s="73"/>
      <c r="C309" t="str">
        <f t="shared" si="11"/>
        <v/>
      </c>
      <c r="D309" s="79" t="str">
        <f>IFERROR(IF(data!P325=0,"",data!P325),"")</f>
        <v/>
      </c>
      <c r="E309" s="61"/>
      <c r="G309" s="71"/>
      <c r="H309" s="63"/>
    </row>
    <row r="310" spans="2:8" x14ac:dyDescent="0.35">
      <c r="B310" s="73"/>
      <c r="C310" t="str">
        <f t="shared" si="11"/>
        <v/>
      </c>
      <c r="D310" s="79" t="str">
        <f>IFERROR(IF(data!P326=0,"",data!P326),"")</f>
        <v/>
      </c>
      <c r="E310" s="61"/>
      <c r="G310" s="71"/>
      <c r="H310" s="63"/>
    </row>
    <row r="311" spans="2:8" x14ac:dyDescent="0.35">
      <c r="B311" s="73"/>
      <c r="C311" t="str">
        <f t="shared" si="11"/>
        <v/>
      </c>
      <c r="D311" s="79" t="str">
        <f>IFERROR(IF(data!P327=0,"",data!P327),"")</f>
        <v/>
      </c>
      <c r="E311" s="61"/>
      <c r="G311" s="71"/>
      <c r="H311" s="63"/>
    </row>
    <row r="312" spans="2:8" x14ac:dyDescent="0.35">
      <c r="B312" s="73"/>
      <c r="C312" t="str">
        <f t="shared" si="11"/>
        <v/>
      </c>
      <c r="D312" s="79" t="str">
        <f>IFERROR(IF(data!P328=0,"",data!P328),"")</f>
        <v/>
      </c>
      <c r="E312" s="61"/>
      <c r="G312" s="71"/>
      <c r="H312" s="63"/>
    </row>
    <row r="313" spans="2:8" x14ac:dyDescent="0.35">
      <c r="B313" s="73"/>
      <c r="C313" t="str">
        <f t="shared" si="11"/>
        <v/>
      </c>
      <c r="D313" s="79" t="str">
        <f>IFERROR(IF(data!P329=0,"",data!P329),"")</f>
        <v/>
      </c>
      <c r="E313" s="61"/>
      <c r="G313" s="71"/>
      <c r="H313" s="63"/>
    </row>
    <row r="314" spans="2:8" x14ac:dyDescent="0.35">
      <c r="B314" s="73"/>
      <c r="C314" t="str">
        <f t="shared" si="11"/>
        <v/>
      </c>
      <c r="D314" s="79" t="str">
        <f>IFERROR(IF(data!P330=0,"",data!P330),"")</f>
        <v/>
      </c>
      <c r="E314" s="61"/>
      <c r="G314" s="71"/>
      <c r="H314" s="63"/>
    </row>
    <row r="315" spans="2:8" x14ac:dyDescent="0.35">
      <c r="B315" s="73"/>
      <c r="C315" t="str">
        <f t="shared" si="11"/>
        <v/>
      </c>
      <c r="D315" s="79" t="str">
        <f>IFERROR(IF(data!P331=0,"",data!P331),"")</f>
        <v/>
      </c>
      <c r="E315" s="61"/>
      <c r="G315" s="71"/>
      <c r="H315" s="63"/>
    </row>
    <row r="316" spans="2:8" x14ac:dyDescent="0.35">
      <c r="B316" s="73"/>
      <c r="C316" t="str">
        <f t="shared" si="11"/>
        <v/>
      </c>
      <c r="D316" s="79" t="str">
        <f>IFERROR(IF(data!P332=0,"",data!P332),"")</f>
        <v/>
      </c>
      <c r="E316" s="61"/>
      <c r="G316" s="71"/>
      <c r="H316" s="63"/>
    </row>
    <row r="317" spans="2:8" x14ac:dyDescent="0.35">
      <c r="B317" s="73"/>
      <c r="C317" t="str">
        <f t="shared" si="11"/>
        <v/>
      </c>
      <c r="D317" s="79" t="str">
        <f>IFERROR(IF(data!P333=0,"",data!P333),"")</f>
        <v/>
      </c>
      <c r="E317" s="61"/>
      <c r="G317" s="71"/>
      <c r="H317" s="63"/>
    </row>
    <row r="318" spans="2:8" x14ac:dyDescent="0.35">
      <c r="B318" s="73"/>
      <c r="C318" t="str">
        <f t="shared" si="11"/>
        <v/>
      </c>
      <c r="D318" s="79" t="str">
        <f>IFERROR(IF(data!P334=0,"",data!P334),"")</f>
        <v/>
      </c>
      <c r="E318" s="61"/>
      <c r="G318" s="71"/>
      <c r="H318" s="63"/>
    </row>
    <row r="319" spans="2:8" x14ac:dyDescent="0.35">
      <c r="B319" s="73"/>
      <c r="C319" t="str">
        <f t="shared" si="11"/>
        <v/>
      </c>
      <c r="D319" s="79" t="str">
        <f>IFERROR(IF(data!P335=0,"",data!P335),"")</f>
        <v/>
      </c>
      <c r="E319" s="61"/>
      <c r="G319" s="71"/>
      <c r="H319" s="63"/>
    </row>
    <row r="320" spans="2:8" x14ac:dyDescent="0.35">
      <c r="B320" s="73"/>
      <c r="C320" t="str">
        <f t="shared" si="11"/>
        <v/>
      </c>
      <c r="D320" s="79" t="str">
        <f>IFERROR(IF(data!P336=0,"",data!P336),"")</f>
        <v/>
      </c>
      <c r="E320" s="61"/>
      <c r="G320" s="71"/>
      <c r="H320" s="63"/>
    </row>
    <row r="321" spans="2:8" x14ac:dyDescent="0.35">
      <c r="B321" s="73"/>
      <c r="C321" t="str">
        <f t="shared" si="11"/>
        <v/>
      </c>
      <c r="D321" s="79" t="str">
        <f>IFERROR(IF(data!P337=0,"",data!P337),"")</f>
        <v/>
      </c>
      <c r="E321" s="61"/>
      <c r="G321" s="71"/>
      <c r="H321" s="63"/>
    </row>
    <row r="322" spans="2:8" x14ac:dyDescent="0.35">
      <c r="B322" s="73"/>
      <c r="C322" t="str">
        <f t="shared" si="11"/>
        <v/>
      </c>
      <c r="D322" s="79" t="str">
        <f>IFERROR(IF(data!P338=0,"",data!P338),"")</f>
        <v/>
      </c>
      <c r="E322" s="61"/>
      <c r="G322" s="71"/>
      <c r="H322" s="63"/>
    </row>
    <row r="323" spans="2:8" x14ac:dyDescent="0.35">
      <c r="B323" s="73"/>
      <c r="C323" t="str">
        <f t="shared" si="11"/>
        <v/>
      </c>
      <c r="D323" s="79" t="str">
        <f>IFERROR(IF(data!P339=0,"",data!P339),"")</f>
        <v/>
      </c>
      <c r="E323" s="61"/>
      <c r="G323" s="71"/>
      <c r="H323" s="63"/>
    </row>
    <row r="324" spans="2:8" x14ac:dyDescent="0.35">
      <c r="B324" s="73"/>
      <c r="C324" t="str">
        <f t="shared" si="11"/>
        <v/>
      </c>
      <c r="D324" s="79" t="str">
        <f>IFERROR(IF(data!P340=0,"",data!P340),"")</f>
        <v/>
      </c>
      <c r="E324" s="61"/>
      <c r="G324" s="71"/>
      <c r="H324" s="63"/>
    </row>
    <row r="325" spans="2:8" x14ac:dyDescent="0.35">
      <c r="B325" s="73"/>
      <c r="C325" t="str">
        <f t="shared" si="11"/>
        <v/>
      </c>
      <c r="D325" s="79" t="str">
        <f>IFERROR(IF(data!P341=0,"",data!P341),"")</f>
        <v/>
      </c>
      <c r="E325" s="61"/>
      <c r="G325" s="71"/>
      <c r="H325" s="63"/>
    </row>
    <row r="326" spans="2:8" x14ac:dyDescent="0.35">
      <c r="C326" t="str">
        <f t="shared" si="11"/>
        <v/>
      </c>
      <c r="D326" s="79" t="str">
        <f>IFERROR(IF(data!P342=0,"",data!P342),"")</f>
        <v/>
      </c>
      <c r="E326" s="61"/>
      <c r="G326" s="71"/>
      <c r="H326" s="63"/>
    </row>
    <row r="327" spans="2:8" x14ac:dyDescent="0.35">
      <c r="C327" t="str">
        <f t="shared" si="11"/>
        <v/>
      </c>
      <c r="D327" s="79" t="str">
        <f>IFERROR(IF(data!P343=0,"",data!P343),"")</f>
        <v/>
      </c>
      <c r="E327" s="61"/>
      <c r="G327" s="71"/>
      <c r="H327" s="63"/>
    </row>
    <row r="328" spans="2:8" x14ac:dyDescent="0.35">
      <c r="C328" t="str">
        <f t="shared" si="11"/>
        <v/>
      </c>
      <c r="D328" s="79" t="str">
        <f>IFERROR(IF(data!P344=0,"",data!P344),"")</f>
        <v/>
      </c>
      <c r="E328" s="61"/>
      <c r="G328" s="71"/>
      <c r="H328" s="63"/>
    </row>
    <row r="329" spans="2:8" x14ac:dyDescent="0.35">
      <c r="C329" t="str">
        <f t="shared" si="11"/>
        <v/>
      </c>
      <c r="D329" s="79" t="str">
        <f>IFERROR(IF(data!P345=0,"",data!P345),"")</f>
        <v/>
      </c>
      <c r="E329" s="61"/>
      <c r="G329" s="71"/>
      <c r="H329" s="63"/>
    </row>
    <row r="330" spans="2:8" x14ac:dyDescent="0.35">
      <c r="C330" t="str">
        <f t="shared" si="11"/>
        <v/>
      </c>
      <c r="D330" s="79" t="str">
        <f>IFERROR(IF(data!P346=0,"",data!P346),"")</f>
        <v/>
      </c>
      <c r="E330" s="61"/>
      <c r="G330" s="71"/>
      <c r="H330" s="63"/>
    </row>
    <row r="331" spans="2:8" x14ac:dyDescent="0.35">
      <c r="C331" t="str">
        <f t="shared" si="11"/>
        <v/>
      </c>
      <c r="D331" s="79" t="str">
        <f>IFERROR(IF(data!P347=0,"",data!P347),"")</f>
        <v/>
      </c>
      <c r="E331" s="61"/>
      <c r="G331" s="71"/>
      <c r="H331" s="63"/>
    </row>
    <row r="332" spans="2:8" x14ac:dyDescent="0.35">
      <c r="C332" t="str">
        <f t="shared" si="11"/>
        <v/>
      </c>
      <c r="D332" s="79" t="str">
        <f>IFERROR(IF(data!P348=0,"",data!P348),"")</f>
        <v/>
      </c>
      <c r="E332" s="61"/>
      <c r="G332" s="71"/>
      <c r="H332" s="63"/>
    </row>
    <row r="333" spans="2:8" x14ac:dyDescent="0.35">
      <c r="C333" t="str">
        <f t="shared" si="11"/>
        <v/>
      </c>
      <c r="D333" s="79" t="str">
        <f>IFERROR(IF(data!P349=0,"",data!P349),"")</f>
        <v/>
      </c>
      <c r="E333" s="61"/>
      <c r="G333" s="71"/>
      <c r="H333" s="63"/>
    </row>
    <row r="334" spans="2:8" x14ac:dyDescent="0.35">
      <c r="C334" t="str">
        <f t="shared" si="11"/>
        <v/>
      </c>
      <c r="D334" s="79" t="str">
        <f>IFERROR(IF(data!P350=0,"",data!P350),"")</f>
        <v/>
      </c>
      <c r="E334" s="61"/>
      <c r="G334" s="71"/>
      <c r="H334" s="63"/>
    </row>
    <row r="335" spans="2:8" x14ac:dyDescent="0.35">
      <c r="D335" s="79" t="str">
        <f>IFERROR(IF(data!P351=0,"",data!P351),"")</f>
        <v/>
      </c>
      <c r="E335" s="61"/>
      <c r="G335" s="71"/>
      <c r="H335" s="63"/>
    </row>
    <row r="336" spans="2:8" x14ac:dyDescent="0.35">
      <c r="D336" s="79" t="str">
        <f>IFERROR(IF(data!P352=0,"",data!P352),"")</f>
        <v/>
      </c>
      <c r="E336" s="72"/>
      <c r="G336" s="71"/>
      <c r="H336" s="63"/>
    </row>
    <row r="337" spans="4:8" x14ac:dyDescent="0.35">
      <c r="D337" s="79" t="str">
        <f>IFERROR(IF(data!P353=0,"",data!P353),"")</f>
        <v/>
      </c>
      <c r="E337" s="72"/>
      <c r="G337" s="71"/>
      <c r="H337" s="63"/>
    </row>
    <row r="338" spans="4:8" x14ac:dyDescent="0.35">
      <c r="D338" s="79" t="str">
        <f>IFERROR(IF(data!P354=0,"",data!P354),"")</f>
        <v/>
      </c>
      <c r="E338" s="72"/>
      <c r="G338" s="71"/>
      <c r="H338" s="63"/>
    </row>
    <row r="339" spans="4:8" x14ac:dyDescent="0.35">
      <c r="D339" s="79" t="str">
        <f>IFERROR(IF(data!P355=0,"",data!P355),"")</f>
        <v/>
      </c>
      <c r="E339" s="72"/>
      <c r="G339" s="71"/>
      <c r="H339" s="63"/>
    </row>
    <row r="340" spans="4:8" x14ac:dyDescent="0.35">
      <c r="D340" s="79" t="str">
        <f>IFERROR(IF(data!P356=0,"",data!P356),"")</f>
        <v/>
      </c>
      <c r="E340" s="72"/>
      <c r="G340" s="71"/>
      <c r="H340" s="63"/>
    </row>
    <row r="341" spans="4:8" x14ac:dyDescent="0.35">
      <c r="D341" s="79" t="str">
        <f>IFERROR(IF(data!P357=0,"",data!P357),"")</f>
        <v/>
      </c>
      <c r="E341" s="72"/>
      <c r="G341" s="71"/>
      <c r="H341" s="63"/>
    </row>
    <row r="342" spans="4:8" x14ac:dyDescent="0.35">
      <c r="D342" s="79" t="str">
        <f>IFERROR(IF(data!P358=0,"",data!P358),"")</f>
        <v/>
      </c>
      <c r="E342" s="72"/>
      <c r="G342" s="71"/>
      <c r="H342" s="63"/>
    </row>
    <row r="343" spans="4:8" x14ac:dyDescent="0.35">
      <c r="D343" s="79" t="str">
        <f>IFERROR(IF(data!P359=0,"",data!P359),"")</f>
        <v/>
      </c>
      <c r="E343" s="72"/>
      <c r="G343" s="71"/>
      <c r="H343" s="63"/>
    </row>
    <row r="344" spans="4:8" x14ac:dyDescent="0.35">
      <c r="D344" s="79" t="str">
        <f>IFERROR(IF(data!P360=0,"",data!P360),"")</f>
        <v/>
      </c>
      <c r="E344" s="72"/>
      <c r="G344" s="71"/>
      <c r="H344" s="63"/>
    </row>
    <row r="345" spans="4:8" x14ac:dyDescent="0.35">
      <c r="D345" s="79" t="str">
        <f>IFERROR(IF(data!P361=0,"",data!P361),"")</f>
        <v/>
      </c>
      <c r="E345" s="72"/>
      <c r="G345" s="71"/>
      <c r="H345" s="63"/>
    </row>
    <row r="346" spans="4:8" x14ac:dyDescent="0.35">
      <c r="D346" s="79" t="str">
        <f>IFERROR(IF(data!P362=0,"",data!P362),"")</f>
        <v/>
      </c>
      <c r="E346" s="72"/>
      <c r="G346" s="71"/>
      <c r="H346" s="63"/>
    </row>
    <row r="347" spans="4:8" x14ac:dyDescent="0.35">
      <c r="D347" s="79" t="str">
        <f>IFERROR(IF(data!P363=0,"",data!P363),"")</f>
        <v/>
      </c>
      <c r="E347" s="72"/>
      <c r="G347" s="71"/>
      <c r="H347" s="63"/>
    </row>
    <row r="348" spans="4:8" x14ac:dyDescent="0.35">
      <c r="D348" s="79" t="str">
        <f>IFERROR(IF(data!P364=0,"",data!P364),"")</f>
        <v/>
      </c>
      <c r="E348" s="72"/>
      <c r="G348" s="71"/>
      <c r="H348" s="63"/>
    </row>
    <row r="349" spans="4:8" x14ac:dyDescent="0.35">
      <c r="D349" s="79" t="str">
        <f>IFERROR(IF(data!P365=0,"",data!P365),"")</f>
        <v/>
      </c>
      <c r="E349" s="72"/>
      <c r="G349" s="71"/>
      <c r="H349" s="63"/>
    </row>
    <row r="350" spans="4:8" x14ac:dyDescent="0.35">
      <c r="D350" s="79" t="str">
        <f>IFERROR(IF(data!P366=0,"",data!P366),"")</f>
        <v/>
      </c>
      <c r="E350" s="72"/>
      <c r="G350" s="71"/>
      <c r="H350" s="63"/>
    </row>
    <row r="351" spans="4:8" x14ac:dyDescent="0.35">
      <c r="D351" s="79" t="str">
        <f>IFERROR(IF(data!P367=0,"",data!P367),"")</f>
        <v/>
      </c>
      <c r="E351" s="72"/>
      <c r="G351" s="71"/>
      <c r="H351" s="63"/>
    </row>
    <row r="352" spans="4:8" x14ac:dyDescent="0.35">
      <c r="D352" s="79" t="str">
        <f>IFERROR(IF(data!P368=0,"",data!P368),"")</f>
        <v/>
      </c>
      <c r="E352" s="72"/>
      <c r="G352" s="71"/>
      <c r="H352" s="63"/>
    </row>
    <row r="353" spans="4:8" x14ac:dyDescent="0.35">
      <c r="D353" s="79" t="str">
        <f>IFERROR(IF(data!P369=0,"",data!P369),"")</f>
        <v/>
      </c>
      <c r="E353" s="72"/>
      <c r="G353" s="71"/>
      <c r="H353" s="63"/>
    </row>
    <row r="354" spans="4:8" x14ac:dyDescent="0.35">
      <c r="D354" s="79" t="str">
        <f>IFERROR(IF(data!P370=0,"",data!P370),"")</f>
        <v/>
      </c>
      <c r="E354" s="72"/>
      <c r="G354" s="71"/>
      <c r="H354" s="63"/>
    </row>
    <row r="355" spans="4:8" x14ac:dyDescent="0.35">
      <c r="D355" s="79" t="str">
        <f>IFERROR(IF(data!P371=0,"",data!P371),"")</f>
        <v/>
      </c>
      <c r="E355" s="72"/>
      <c r="G355" s="71"/>
      <c r="H355" s="63"/>
    </row>
    <row r="356" spans="4:8" x14ac:dyDescent="0.35">
      <c r="D356" s="79" t="str">
        <f>IFERROR(IF(data!P372=0,"",data!P372),"")</f>
        <v/>
      </c>
      <c r="E356" s="72"/>
      <c r="G356" s="71"/>
      <c r="H356" s="63"/>
    </row>
    <row r="357" spans="4:8" x14ac:dyDescent="0.35">
      <c r="D357" s="79" t="str">
        <f>IFERROR(IF(data!P373=0,"",data!P373),"")</f>
        <v/>
      </c>
      <c r="E357" s="72"/>
      <c r="G357" s="71"/>
      <c r="H357" s="63"/>
    </row>
    <row r="358" spans="4:8" x14ac:dyDescent="0.35">
      <c r="D358" s="79" t="str">
        <f>IFERROR(IF(data!P374=0,"",data!P374),"")</f>
        <v/>
      </c>
      <c r="E358" s="72"/>
      <c r="G358" s="71"/>
      <c r="H358" s="63"/>
    </row>
    <row r="359" spans="4:8" x14ac:dyDescent="0.35">
      <c r="D359" s="79" t="str">
        <f>IFERROR(IF(data!P375=0,"",data!P375),"")</f>
        <v/>
      </c>
      <c r="E359" s="72"/>
      <c r="G359" s="71"/>
      <c r="H359" s="63"/>
    </row>
    <row r="360" spans="4:8" x14ac:dyDescent="0.35">
      <c r="D360" s="79" t="str">
        <f>IFERROR(IF(data!P376=0,"",data!P376),"")</f>
        <v/>
      </c>
      <c r="E360" s="72"/>
      <c r="G360" s="71"/>
      <c r="H360" s="63"/>
    </row>
    <row r="361" spans="4:8" x14ac:dyDescent="0.35">
      <c r="D361" s="79" t="str">
        <f>IFERROR(IF(data!P377=0,"",data!P377),"")</f>
        <v/>
      </c>
      <c r="E361" s="72"/>
      <c r="G361" s="71"/>
      <c r="H361" s="63"/>
    </row>
    <row r="362" spans="4:8" x14ac:dyDescent="0.35">
      <c r="D362" s="79" t="str">
        <f>IFERROR(IF(data!P378=0,"",data!P378),"")</f>
        <v/>
      </c>
      <c r="E362" s="72"/>
      <c r="G362" s="71"/>
      <c r="H362" s="63"/>
    </row>
    <row r="363" spans="4:8" x14ac:dyDescent="0.35">
      <c r="D363" s="79" t="str">
        <f>IFERROR(IF(data!P379=0,"",data!P379),"")</f>
        <v/>
      </c>
      <c r="E363" s="72"/>
      <c r="G363" s="71"/>
      <c r="H363" s="63"/>
    </row>
    <row r="364" spans="4:8" x14ac:dyDescent="0.35">
      <c r="D364" s="79" t="str">
        <f>IFERROR(IF(data!P380=0,"",data!P380),"")</f>
        <v/>
      </c>
      <c r="E364" s="72"/>
      <c r="G364" s="71"/>
      <c r="H364" s="63"/>
    </row>
    <row r="365" spans="4:8" x14ac:dyDescent="0.35">
      <c r="D365" s="79" t="str">
        <f>IFERROR(IF(data!P381=0,"",data!P381),"")</f>
        <v/>
      </c>
      <c r="E365" s="72"/>
      <c r="G365" s="71"/>
      <c r="H365" s="63"/>
    </row>
    <row r="366" spans="4:8" x14ac:dyDescent="0.35">
      <c r="D366" s="79" t="str">
        <f>IFERROR(IF(data!P382=0,"",data!P382),"")</f>
        <v/>
      </c>
      <c r="E366" s="72"/>
      <c r="G366" s="71"/>
      <c r="H366" s="63"/>
    </row>
    <row r="367" spans="4:8" x14ac:dyDescent="0.35">
      <c r="D367" s="79" t="str">
        <f>IFERROR(IF(data!P383=0,"",data!P383),"")</f>
        <v/>
      </c>
      <c r="E367" s="72"/>
      <c r="G367" s="71"/>
      <c r="H367" s="63"/>
    </row>
    <row r="368" spans="4:8" x14ac:dyDescent="0.35">
      <c r="D368" s="79" t="str">
        <f>IFERROR(IF(data!P384=0,"",data!P384),"")</f>
        <v/>
      </c>
      <c r="E368" s="72"/>
      <c r="G368" s="71"/>
      <c r="H368" s="63"/>
    </row>
    <row r="369" spans="4:8" x14ac:dyDescent="0.35">
      <c r="D369" s="79" t="str">
        <f>IFERROR(IF(data!P385=0,"",data!P385),"")</f>
        <v/>
      </c>
      <c r="E369" s="72"/>
      <c r="G369" s="71"/>
      <c r="H369" s="63"/>
    </row>
    <row r="370" spans="4:8" x14ac:dyDescent="0.35">
      <c r="D370" s="79" t="str">
        <f>IFERROR(IF(data!P386=0,"",data!P386),"")</f>
        <v/>
      </c>
      <c r="E370" s="72"/>
      <c r="G370" s="71"/>
      <c r="H370" s="63"/>
    </row>
    <row r="371" spans="4:8" x14ac:dyDescent="0.35">
      <c r="D371" s="79" t="str">
        <f>IFERROR(IF(data!P387=0,"",data!P387),"")</f>
        <v/>
      </c>
      <c r="E371" s="72"/>
      <c r="G371" s="71"/>
      <c r="H371" s="63"/>
    </row>
    <row r="372" spans="4:8" x14ac:dyDescent="0.35">
      <c r="D372" s="79" t="str">
        <f>IFERROR(IF(data!P388=0,"",data!P388),"")</f>
        <v/>
      </c>
      <c r="E372" s="72"/>
      <c r="G372" s="71"/>
      <c r="H372" s="63"/>
    </row>
    <row r="373" spans="4:8" x14ac:dyDescent="0.35">
      <c r="D373" s="79" t="str">
        <f>IFERROR(IF(data!P389=0,"",data!P389),"")</f>
        <v/>
      </c>
      <c r="E373" s="72"/>
      <c r="G373" s="71"/>
      <c r="H373" s="63"/>
    </row>
    <row r="374" spans="4:8" x14ac:dyDescent="0.35">
      <c r="D374" s="79" t="str">
        <f>IFERROR(IF(data!P390=0,"",data!P390),"")</f>
        <v/>
      </c>
      <c r="E374" s="72"/>
      <c r="G374" s="71"/>
      <c r="H374" s="63"/>
    </row>
    <row r="375" spans="4:8" x14ac:dyDescent="0.35">
      <c r="D375" s="79" t="str">
        <f>IFERROR(IF(data!P391=0,"",data!P391),"")</f>
        <v/>
      </c>
      <c r="E375" s="72"/>
      <c r="G375" s="71"/>
      <c r="H375" s="63"/>
    </row>
    <row r="376" spans="4:8" x14ac:dyDescent="0.35">
      <c r="D376" s="79" t="str">
        <f>IFERROR(IF(data!P392=0,"",data!P392),"")</f>
        <v/>
      </c>
      <c r="E376" s="75"/>
      <c r="G376" s="74"/>
      <c r="H376" s="76"/>
    </row>
    <row r="377" spans="4:8" x14ac:dyDescent="0.35">
      <c r="D377" s="79" t="str">
        <f>IFERROR(IF(data!P393=0,"",data!P393),"")</f>
        <v/>
      </c>
    </row>
    <row r="378" spans="4:8" x14ac:dyDescent="0.35">
      <c r="D378" s="79" t="str">
        <f>IFERROR(IF(data!P394=0,"",data!P394),"")</f>
        <v/>
      </c>
    </row>
    <row r="379" spans="4:8" x14ac:dyDescent="0.35">
      <c r="D379" s="79" t="str">
        <f>IFERROR(IF(data!P395=0,"",data!P395),"")</f>
        <v/>
      </c>
    </row>
    <row r="380" spans="4:8" x14ac:dyDescent="0.35">
      <c r="D380" s="79" t="str">
        <f>IFERROR(IF(data!P396=0,"",data!P396),"")</f>
        <v/>
      </c>
    </row>
  </sheetData>
  <mergeCells count="3">
    <mergeCell ref="S10:T10"/>
    <mergeCell ref="U10:V10"/>
    <mergeCell ref="R25:S25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H43"/>
  <sheetViews>
    <sheetView topLeftCell="K20" workbookViewId="0">
      <selection activeCell="Q4" sqref="Q4"/>
    </sheetView>
  </sheetViews>
  <sheetFormatPr defaultRowHeight="14.5" x14ac:dyDescent="0.35"/>
  <cols>
    <col min="1" max="10" width="0" hidden="1" customWidth="1"/>
    <col min="14" max="14" width="13.7265625" bestFit="1" customWidth="1"/>
    <col min="17" max="17" width="12" bestFit="1" customWidth="1"/>
    <col min="18" max="18" width="20" customWidth="1"/>
    <col min="19" max="19" width="21.453125" bestFit="1" customWidth="1"/>
    <col min="20" max="20" width="18.453125" bestFit="1" customWidth="1"/>
    <col min="28" max="35" width="0" hidden="1" customWidth="1"/>
  </cols>
  <sheetData>
    <row r="1" spans="1:34" x14ac:dyDescent="0.35">
      <c r="N1" s="6"/>
    </row>
    <row r="2" spans="1:34" x14ac:dyDescent="0.35">
      <c r="C2" t="s">
        <v>39</v>
      </c>
      <c r="F2" t="s">
        <v>55</v>
      </c>
    </row>
    <row r="3" spans="1:34" ht="29" x14ac:dyDescent="0.35">
      <c r="A3" t="s">
        <v>1273</v>
      </c>
      <c r="B3">
        <v>1</v>
      </c>
      <c r="C3" s="100"/>
      <c r="D3" s="100" t="s">
        <v>1274</v>
      </c>
      <c r="F3" s="100"/>
      <c r="G3" s="100" t="s">
        <v>1275</v>
      </c>
      <c r="K3" s="6"/>
      <c r="L3" s="6"/>
      <c r="M3" t="s">
        <v>1276</v>
      </c>
      <c r="N3" s="6" t="s">
        <v>1277</v>
      </c>
      <c r="O3" s="6" t="s">
        <v>1278</v>
      </c>
      <c r="P3" s="6" t="s">
        <v>1279</v>
      </c>
      <c r="Q3" s="6" t="s">
        <v>1280</v>
      </c>
      <c r="R3" s="6" t="s">
        <v>1281</v>
      </c>
      <c r="S3" s="6" t="s">
        <v>1282</v>
      </c>
      <c r="T3" s="6" t="s">
        <v>1283</v>
      </c>
      <c r="AG3" s="100"/>
      <c r="AH3" s="100" t="s">
        <v>1274</v>
      </c>
    </row>
    <row r="4" spans="1:34" ht="29" x14ac:dyDescent="0.35">
      <c r="C4" s="100" t="s">
        <v>63</v>
      </c>
      <c r="D4" s="100" t="s">
        <v>1284</v>
      </c>
      <c r="F4" s="100" t="s">
        <v>63</v>
      </c>
      <c r="G4" s="100" t="s">
        <v>1285</v>
      </c>
      <c r="I4" cm="1">
        <f t="array" ref="I4">(_xll.RDP.Data(F4,G3)+_xll.RDP.Data(C4,D3))/2</f>
        <v>2.3899999999999997</v>
      </c>
      <c r="M4">
        <v>1</v>
      </c>
      <c r="N4" cm="1">
        <f t="array" ref="N4">_xll.RDP.Data(F4,G3)</f>
        <v>2.3919999999999999</v>
      </c>
      <c r="O4" cm="1">
        <f t="array" ref="O4">_xll.RDP.Data(C4,D3)</f>
        <v>2.3879999999999999</v>
      </c>
      <c r="P4">
        <f>AVERAGE(N4:O4)/100</f>
        <v>2.3899999999999998E-2</v>
      </c>
      <c r="Q4">
        <f>1/(1+P4)</f>
        <v>0.97665787674577598</v>
      </c>
      <c r="R4" s="103">
        <f>(Q4^(-1/M4))-1</f>
        <v>2.3900000000000032E-2</v>
      </c>
      <c r="S4" s="104" cm="1">
        <f t="array" ref="S4">_xll.RDP.Data(AC5,AD4)/100</f>
        <v>2.3991729999999999E-2</v>
      </c>
      <c r="T4" s="93">
        <f t="shared" ref="T4:T12" si="0">(S4-R4)/S4</f>
        <v>3.8234008135289528E-3</v>
      </c>
      <c r="Y4">
        <f>1/(1+P4)</f>
        <v>0.97665787674577598</v>
      </c>
      <c r="AC4" s="100"/>
      <c r="AD4" s="100" t="s">
        <v>1274</v>
      </c>
      <c r="AG4" s="100" t="s">
        <v>636</v>
      </c>
      <c r="AH4" s="100" t="s">
        <v>1286</v>
      </c>
    </row>
    <row r="5" spans="1:34" ht="29" x14ac:dyDescent="0.35">
      <c r="C5" s="100"/>
      <c r="D5" s="100"/>
      <c r="M5">
        <v>2</v>
      </c>
      <c r="N5" cm="1">
        <f t="array" ref="N5">_xll.RDP.Data(F7,G6)</f>
        <v>2.194</v>
      </c>
      <c r="O5" cm="1">
        <f t="array" ref="O5">_xll.RDP.Data(C7,D6)</f>
        <v>2.19</v>
      </c>
      <c r="P5">
        <f t="shared" ref="P5:P12" si="1">AVERAGE(N5:O5)/100</f>
        <v>2.1920000000000002E-2</v>
      </c>
      <c r="Q5">
        <f>(1-P5*Q4)/(1+P5)</f>
        <v>0.95760104444744465</v>
      </c>
      <c r="R5" s="103">
        <f>(Q5^(-1/M5))-1</f>
        <v>2.1898341853169301E-2</v>
      </c>
      <c r="S5" s="104" cm="1">
        <f t="array" ref="S5">_xll.RDP.Data(AC8,AD7)/100</f>
        <v>2.192844E-2</v>
      </c>
      <c r="T5" s="93">
        <f t="shared" si="0"/>
        <v>1.3725621535640297E-3</v>
      </c>
      <c r="Y5">
        <f>Y4*(1/(1+P5))</f>
        <v>0.95570874113998761</v>
      </c>
      <c r="AC5" s="100" t="s">
        <v>592</v>
      </c>
      <c r="AD5" s="100" t="s">
        <v>1287</v>
      </c>
    </row>
    <row r="6" spans="1:34" ht="29" x14ac:dyDescent="0.35">
      <c r="A6" s="70"/>
      <c r="B6" t="s">
        <v>1288</v>
      </c>
      <c r="C6" s="100"/>
      <c r="D6" s="100" t="s">
        <v>1274</v>
      </c>
      <c r="F6" s="100"/>
      <c r="G6" s="100" t="s">
        <v>1275</v>
      </c>
      <c r="J6" s="100"/>
      <c r="K6" s="100"/>
      <c r="M6">
        <v>3</v>
      </c>
      <c r="N6" cm="1">
        <f t="array" ref="N6">_xll.RDP.Data(F10,G9)</f>
        <v>2.173</v>
      </c>
      <c r="O6" cm="1">
        <f t="array" ref="O6">_xll.RDP.Data(C10,D9)</f>
        <v>2.1629999999999998</v>
      </c>
      <c r="P6">
        <f t="shared" si="1"/>
        <v>2.1680000000000001E-2</v>
      </c>
      <c r="Q6">
        <f>(1-P6*(SUM($Q$4:Q5)))/(1+P6)</f>
        <v>0.9377351681431868</v>
      </c>
      <c r="R6" s="103">
        <f>(Q6^(-1/M6))-1</f>
        <v>2.1660490510966302E-2</v>
      </c>
      <c r="S6" s="104" cm="1">
        <f t="array" ref="S6">_xll.RDP.Data(AG11,AH10)/100</f>
        <v>2.169107E-2</v>
      </c>
      <c r="T6" s="93">
        <f t="shared" si="0"/>
        <v>1.4097731939318016E-3</v>
      </c>
      <c r="Y6">
        <f>Y5*(1/(1+P6))</f>
        <v>0.93542864805025805</v>
      </c>
      <c r="AG6" s="100"/>
      <c r="AH6" s="100" t="s">
        <v>1274</v>
      </c>
    </row>
    <row r="7" spans="1:34" ht="29" x14ac:dyDescent="0.35">
      <c r="A7" s="70"/>
      <c r="C7" s="100" t="s">
        <v>74</v>
      </c>
      <c r="D7" s="100" t="s">
        <v>1289</v>
      </c>
      <c r="F7" s="100" t="s">
        <v>74</v>
      </c>
      <c r="G7" s="100" t="s">
        <v>1290</v>
      </c>
      <c r="I7" cm="1">
        <f t="array" ref="I7">(_xll.RDP.Data(F7,G6)+_xll.RDP.Data(C7,D6))/2</f>
        <v>2.1920000000000002</v>
      </c>
      <c r="J7" s="100"/>
      <c r="K7" s="100"/>
      <c r="M7">
        <v>4</v>
      </c>
      <c r="N7" cm="1">
        <f t="array" ref="N7">_xll.RDP.Data(F13,G12)</f>
        <v>2.1739999999999999</v>
      </c>
      <c r="O7" cm="1">
        <f t="array" ref="O7">_xll.RDP.Data(C13,D12)</f>
        <v>2.17</v>
      </c>
      <c r="P7">
        <f t="shared" si="1"/>
        <v>2.1719999999999996E-2</v>
      </c>
      <c r="Q7">
        <f>(1-P7*(SUM($Q$4:Q6)))/(1+P7)</f>
        <v>0.91768810278707791</v>
      </c>
      <c r="R7" s="103">
        <f t="shared" ref="R7:R12" si="2">(Q7^(-1/M7))-1</f>
        <v>2.17066607250882E-2</v>
      </c>
      <c r="S7" s="104" cm="1">
        <f t="array" ref="S7">_xll.RDP.Data(AC17,AD16)/100</f>
        <v>2.172164E-2</v>
      </c>
      <c r="T7" s="93">
        <f t="shared" si="0"/>
        <v>6.8960147170287118E-4</v>
      </c>
      <c r="Y7">
        <f t="shared" ref="Y7:Y11" si="3">Y6*(1/(1+P7))</f>
        <v>0.91554305294039273</v>
      </c>
      <c r="AC7" s="100"/>
      <c r="AD7" s="100" t="s">
        <v>1274</v>
      </c>
      <c r="AG7" s="100" t="s">
        <v>625</v>
      </c>
      <c r="AH7" s="100" t="s">
        <v>1291</v>
      </c>
    </row>
    <row r="8" spans="1:34" ht="29" x14ac:dyDescent="0.35">
      <c r="A8" s="70"/>
      <c r="M8">
        <v>5</v>
      </c>
      <c r="N8" cm="1">
        <f t="array" ref="N8">_xll.RDP.Data(F16,G15)</f>
        <v>2.1840000000000002</v>
      </c>
      <c r="O8" cm="1">
        <f t="array" ref="O8">_xll.RDP.Data(C16,D15)</f>
        <v>2.1739999999999999</v>
      </c>
      <c r="P8">
        <f t="shared" si="1"/>
        <v>2.1790000000000004E-2</v>
      </c>
      <c r="Q8">
        <f>(1-P8*(SUM($Q$4:Q7)))/(1+P8)</f>
        <v>0.89785848856773831</v>
      </c>
      <c r="R8" s="103">
        <f t="shared" si="2"/>
        <v>2.1782408564465339E-2</v>
      </c>
      <c r="S8" s="104" cm="1">
        <f t="array" ref="S8">_xll.RDP.Data(AG14,AH13)/100</f>
        <v>2.180474E-2</v>
      </c>
      <c r="T8" s="93">
        <f t="shared" si="0"/>
        <v>1.024155093555844E-3</v>
      </c>
      <c r="Y8">
        <f t="shared" si="3"/>
        <v>0.89601880321826677</v>
      </c>
      <c r="AC8" s="100" t="s">
        <v>600</v>
      </c>
      <c r="AD8" s="100" t="s">
        <v>1292</v>
      </c>
      <c r="AG8" s="100"/>
      <c r="AH8" s="100"/>
    </row>
    <row r="9" spans="1:34" ht="29" x14ac:dyDescent="0.35">
      <c r="A9" s="70"/>
      <c r="C9" s="100"/>
      <c r="D9" s="100" t="s">
        <v>1274</v>
      </c>
      <c r="F9" s="100"/>
      <c r="G9" s="100" t="s">
        <v>1275</v>
      </c>
      <c r="M9">
        <v>6</v>
      </c>
      <c r="N9" cm="1">
        <f t="array" ref="N9">_xll.RDP.Data(F19,G18)</f>
        <v>2.1970000000000001</v>
      </c>
      <c r="O9" cm="1">
        <f t="array" ref="O9">_xll.RDP.Data(C19,D18)</f>
        <v>2.1869999999999998</v>
      </c>
      <c r="P9">
        <f t="shared" si="1"/>
        <v>2.1920000000000002E-2</v>
      </c>
      <c r="Q9">
        <f>(1-P9*(SUM($Q$4:Q8)))/(1+P9)</f>
        <v>0.87800327645926146</v>
      </c>
      <c r="R9" s="103">
        <f t="shared" si="2"/>
        <v>2.1920968889073134E-2</v>
      </c>
      <c r="S9" s="104" cm="1">
        <f t="array" ref="S9">_xll.RDP.Data(AC20,AD19)/100</f>
        <v>2.1920019999999998E-2</v>
      </c>
      <c r="T9" s="93">
        <f t="shared" si="0"/>
        <v>-4.3288695591298411E-5</v>
      </c>
      <c r="Y9">
        <f t="shared" si="3"/>
        <v>0.87679936122031754</v>
      </c>
    </row>
    <row r="10" spans="1:34" ht="29" x14ac:dyDescent="0.35">
      <c r="A10" s="70"/>
      <c r="C10" s="100" t="s">
        <v>78</v>
      </c>
      <c r="D10" s="100" t="s">
        <v>1293</v>
      </c>
      <c r="F10" s="100" t="s">
        <v>78</v>
      </c>
      <c r="G10" s="100" t="s">
        <v>1294</v>
      </c>
      <c r="I10" cm="1">
        <f t="array" ref="I10">(_xll.RDP.Data(F10,G9)+_xll.RDP.Data(C10,D9))/2</f>
        <v>2.1680000000000001</v>
      </c>
      <c r="M10">
        <v>7</v>
      </c>
      <c r="N10" cm="1">
        <f t="array" ref="N10">_xll.RDP.Data(F22,G21)</f>
        <v>2.2200000000000002</v>
      </c>
      <c r="O10" cm="1">
        <f t="array" ref="O10">_xll.RDP.Data(C22,D21)</f>
        <v>2.19</v>
      </c>
      <c r="P10">
        <f t="shared" si="1"/>
        <v>2.205E-2</v>
      </c>
      <c r="Q10">
        <f>(1-P10*(SUM($Q$4:Q9)))/(1+P10)</f>
        <v>0.85835307053943721</v>
      </c>
      <c r="R10" s="103">
        <f t="shared" si="2"/>
        <v>2.2059762108519454E-2</v>
      </c>
      <c r="S10" s="104" cm="1">
        <f t="array" ref="S10">_xll.RDP.Data(AG7,AH6)/100</f>
        <v>2.2068089999999999E-2</v>
      </c>
      <c r="T10" s="93">
        <f t="shared" si="0"/>
        <v>3.7737255378895865E-4</v>
      </c>
      <c r="Y10">
        <f t="shared" si="3"/>
        <v>0.85788304018425487</v>
      </c>
      <c r="AC10" s="100"/>
      <c r="AD10" s="100" t="s">
        <v>1295</v>
      </c>
      <c r="AG10" s="100"/>
      <c r="AH10" s="100" t="s">
        <v>1274</v>
      </c>
    </row>
    <row r="11" spans="1:34" ht="29" x14ac:dyDescent="0.35">
      <c r="A11" s="70"/>
      <c r="M11">
        <v>8</v>
      </c>
      <c r="N11" cm="1">
        <f t="array" ref="N11">_xll.RDP.Data(F25,G24)</f>
        <v>2.2269999999999999</v>
      </c>
      <c r="O11" cm="1">
        <f t="array" ref="O11">_xll.RDP.Data(C25,D24)</f>
        <v>2.2170000000000001</v>
      </c>
      <c r="P11">
        <f t="shared" si="1"/>
        <v>2.222E-2</v>
      </c>
      <c r="Q11">
        <f>(1-P11*(SUM($Q$4:Q10)))/(1+P11)</f>
        <v>0.83862672227576252</v>
      </c>
      <c r="R11" s="103">
        <f t="shared" si="2"/>
        <v>2.2242452923540323E-2</v>
      </c>
      <c r="S11" s="104" cm="1">
        <f t="array" ref="S11">_xll.RDP.Data(AG17,AH16)/100</f>
        <v>2.2238829999999998E-2</v>
      </c>
      <c r="T11" s="93">
        <f t="shared" si="0"/>
        <v>-1.6290980866915267E-4</v>
      </c>
      <c r="Y11">
        <f t="shared" si="3"/>
        <v>0.83923523330032179</v>
      </c>
      <c r="AC11" s="100" t="s">
        <v>609</v>
      </c>
      <c r="AD11" s="100"/>
      <c r="AG11" s="100" t="s">
        <v>609</v>
      </c>
      <c r="AH11" s="100" t="s">
        <v>1296</v>
      </c>
    </row>
    <row r="12" spans="1:34" ht="29" x14ac:dyDescent="0.35">
      <c r="A12" s="70"/>
      <c r="C12" s="100"/>
      <c r="D12" s="100" t="s">
        <v>1274</v>
      </c>
      <c r="F12" s="100"/>
      <c r="G12" s="100" t="s">
        <v>1275</v>
      </c>
      <c r="M12">
        <v>9</v>
      </c>
      <c r="N12" cm="1">
        <f t="array" ref="N12">_xll.RDP.Data(F28,G27)</f>
        <v>2.2410000000000001</v>
      </c>
      <c r="O12" cm="1">
        <f t="array" ref="O12">_xll.RDP.Data(C28,D27)</f>
        <v>2.2309999999999999</v>
      </c>
      <c r="P12">
        <f t="shared" si="1"/>
        <v>2.2359999999999998E-2</v>
      </c>
      <c r="Q12">
        <f>(1-P12*(SUM($Q$4:Q11)))/(1+P12)</f>
        <v>0.81929063045382</v>
      </c>
      <c r="R12" s="103">
        <f t="shared" si="2"/>
        <v>2.239331536252176E-2</v>
      </c>
      <c r="S12" s="104" cm="1">
        <f t="array" ref="S12">_xll.RDP.Data(AG4,AH3)/100</f>
        <v>2.2410770000000003E-2</v>
      </c>
      <c r="T12" s="93">
        <f t="shared" si="0"/>
        <v>7.7885041336124919E-4</v>
      </c>
    </row>
    <row r="13" spans="1:34" ht="29" x14ac:dyDescent="0.35">
      <c r="A13" s="70"/>
      <c r="C13" s="100" t="s">
        <v>81</v>
      </c>
      <c r="D13" s="100" t="s">
        <v>1297</v>
      </c>
      <c r="F13" s="100" t="s">
        <v>81</v>
      </c>
      <c r="G13" s="100" t="s">
        <v>1298</v>
      </c>
      <c r="I13" cm="1">
        <f t="array" ref="I13">(_xll.RDP.Data(F13,G12)+_xll.RDP.Data(C13,D12))/2</f>
        <v>2.1719999999999997</v>
      </c>
      <c r="AC13" s="100"/>
      <c r="AD13" s="100" t="s">
        <v>1295</v>
      </c>
      <c r="AG13" s="100"/>
      <c r="AH13" s="100" t="s">
        <v>1274</v>
      </c>
    </row>
    <row r="14" spans="1:34" ht="29" x14ac:dyDescent="0.35">
      <c r="A14" s="70"/>
      <c r="AC14" s="100" t="s">
        <v>613</v>
      </c>
      <c r="AD14" s="100" t="s">
        <v>14</v>
      </c>
      <c r="AG14" s="100" t="s">
        <v>617</v>
      </c>
      <c r="AH14" s="100" t="s">
        <v>1299</v>
      </c>
    </row>
    <row r="15" spans="1:34" ht="29" x14ac:dyDescent="0.35">
      <c r="C15" s="100"/>
      <c r="D15" s="100" t="s">
        <v>1274</v>
      </c>
      <c r="F15" s="100"/>
      <c r="G15" s="100" t="s">
        <v>1275</v>
      </c>
      <c r="L15" t="s">
        <v>1276</v>
      </c>
      <c r="M15" t="s">
        <v>1300</v>
      </c>
      <c r="R15" t="s">
        <v>1301</v>
      </c>
    </row>
    <row r="16" spans="1:34" ht="29" x14ac:dyDescent="0.35">
      <c r="C16" s="100" t="s">
        <v>83</v>
      </c>
      <c r="D16" s="100" t="s">
        <v>1302</v>
      </c>
      <c r="F16" s="100" t="s">
        <v>83</v>
      </c>
      <c r="G16" s="100" t="s">
        <v>1303</v>
      </c>
      <c r="I16" cm="1">
        <f t="array" ref="I16">(_xll.RDP.Data(F16,G15)+_xll.RDP.Data(C16,D15))/2</f>
        <v>2.1790000000000003</v>
      </c>
      <c r="L16">
        <v>1</v>
      </c>
      <c r="M16">
        <f>(1/L16)*LN(1+R4*L16)</f>
        <v>2.3618865598634027E-2</v>
      </c>
      <c r="N16" s="105"/>
      <c r="R16" s="82">
        <f>((M17*L17)-(M16*L16))/(L17-L16)</f>
        <v>1.9245857488352502E-2</v>
      </c>
      <c r="AC16" s="100"/>
      <c r="AD16" s="100" t="s">
        <v>1274</v>
      </c>
      <c r="AG16" s="100"/>
      <c r="AH16" s="100" t="s">
        <v>1274</v>
      </c>
    </row>
    <row r="17" spans="3:34" ht="29" x14ac:dyDescent="0.35">
      <c r="L17">
        <v>2</v>
      </c>
      <c r="M17">
        <f>(1/L17)*LN(1+R5*L17)</f>
        <v>2.1432361543493265E-2</v>
      </c>
      <c r="R17" s="82">
        <f t="shared" ref="R17:R24" si="4">((M18*L18)-(M17*L17))/(L18-L17)</f>
        <v>2.0092678301370355E-2</v>
      </c>
      <c r="AC17" s="100" t="s">
        <v>613</v>
      </c>
      <c r="AD17" s="100" t="s">
        <v>1304</v>
      </c>
      <c r="AG17" s="100" t="s">
        <v>632</v>
      </c>
      <c r="AH17" s="100" t="s">
        <v>1305</v>
      </c>
    </row>
    <row r="18" spans="3:34" ht="29" x14ac:dyDescent="0.35">
      <c r="C18" s="100"/>
      <c r="D18" s="100" t="s">
        <v>1274</v>
      </c>
      <c r="F18" s="100"/>
      <c r="G18" s="100" t="s">
        <v>1275</v>
      </c>
      <c r="L18">
        <v>3</v>
      </c>
      <c r="M18">
        <f t="shared" ref="M18:M24" si="5">(1/L18)*LN(1+R6*L18)</f>
        <v>2.0985800462785628E-2</v>
      </c>
      <c r="R18" s="82">
        <f t="shared" si="4"/>
        <v>2.0304711879695431E-2</v>
      </c>
    </row>
    <row r="19" spans="3:34" ht="29" x14ac:dyDescent="0.35">
      <c r="C19" s="100" t="s">
        <v>88</v>
      </c>
      <c r="D19" s="100" t="s">
        <v>1306</v>
      </c>
      <c r="F19" s="100" t="s">
        <v>88</v>
      </c>
      <c r="G19" s="100" t="s">
        <v>1307</v>
      </c>
      <c r="I19" cm="1">
        <f t="array" ref="I19">(_xll.RDP.Data(F19,G18)+_xll.RDP.Data(C19,D18))/2</f>
        <v>2.1920000000000002</v>
      </c>
      <c r="L19">
        <v>4</v>
      </c>
      <c r="M19">
        <f t="shared" si="5"/>
        <v>2.0815528317013079E-2</v>
      </c>
      <c r="R19" s="82">
        <f t="shared" si="4"/>
        <v>2.0117279801805873E-2</v>
      </c>
      <c r="AC19" s="100"/>
      <c r="AD19" s="100" t="s">
        <v>1274</v>
      </c>
    </row>
    <row r="20" spans="3:34" ht="29" x14ac:dyDescent="0.35">
      <c r="L20">
        <v>5</v>
      </c>
      <c r="M20">
        <f t="shared" si="5"/>
        <v>2.0675878613971639E-2</v>
      </c>
      <c r="R20" s="82">
        <f t="shared" si="4"/>
        <v>2.0187606136929243E-2</v>
      </c>
      <c r="AC20" s="100" t="s">
        <v>621</v>
      </c>
      <c r="AD20" s="100" t="s">
        <v>1308</v>
      </c>
    </row>
    <row r="21" spans="3:34" ht="29" x14ac:dyDescent="0.35">
      <c r="C21" s="100"/>
      <c r="D21" s="100" t="s">
        <v>1274</v>
      </c>
      <c r="F21" s="100"/>
      <c r="G21" s="100" t="s">
        <v>1275</v>
      </c>
      <c r="L21">
        <v>6</v>
      </c>
      <c r="M21">
        <f t="shared" si="5"/>
        <v>2.0594499867797905E-2</v>
      </c>
      <c r="R21" s="82">
        <f t="shared" si="4"/>
        <v>2.0029611646028372E-2</v>
      </c>
    </row>
    <row r="22" spans="3:34" ht="29" x14ac:dyDescent="0.35">
      <c r="C22" s="100" t="s">
        <v>92</v>
      </c>
      <c r="D22" s="100" t="s">
        <v>1309</v>
      </c>
      <c r="F22" s="100" t="s">
        <v>92</v>
      </c>
      <c r="G22" s="100" t="s">
        <v>1310</v>
      </c>
      <c r="I22" cm="1">
        <f t="array" ref="I22">(_xll.RDP.Data(F22,G21)+_xll.RDP.Data(C22,D21))/2</f>
        <v>2.2050000000000001</v>
      </c>
      <c r="L22">
        <v>7</v>
      </c>
      <c r="M22">
        <f t="shared" si="5"/>
        <v>2.0513801550402257E-2</v>
      </c>
      <c r="R22" s="82">
        <f t="shared" si="4"/>
        <v>2.0170219572685832E-2</v>
      </c>
    </row>
    <row r="23" spans="3:34" x14ac:dyDescent="0.35">
      <c r="L23">
        <v>8</v>
      </c>
      <c r="M23">
        <f t="shared" si="5"/>
        <v>2.0470853803187705E-2</v>
      </c>
      <c r="R23" s="82">
        <f t="shared" si="4"/>
        <v>1.9837102325064415E-2</v>
      </c>
    </row>
    <row r="24" spans="3:34" ht="29" x14ac:dyDescent="0.35">
      <c r="C24" s="100"/>
      <c r="D24" s="100" t="s">
        <v>1274</v>
      </c>
      <c r="F24" s="100"/>
      <c r="G24" s="100" t="s">
        <v>1275</v>
      </c>
      <c r="L24">
        <v>9</v>
      </c>
      <c r="M24">
        <f t="shared" si="5"/>
        <v>2.0400436972285118E-2</v>
      </c>
      <c r="R24" s="82">
        <f t="shared" si="4"/>
        <v>2.0400436972285118E-2</v>
      </c>
    </row>
    <row r="25" spans="3:34" ht="29" x14ac:dyDescent="0.35">
      <c r="C25" s="100" t="s">
        <v>97</v>
      </c>
      <c r="D25" s="100" t="s">
        <v>1311</v>
      </c>
      <c r="F25" s="100" t="s">
        <v>97</v>
      </c>
      <c r="G25" s="100" t="s">
        <v>1312</v>
      </c>
      <c r="I25" cm="1">
        <f t="array" ref="I25">(_xll.RDP.Data(F25,G24)+_xll.RDP.Data(C25,D24))/2</f>
        <v>2.222</v>
      </c>
    </row>
    <row r="27" spans="3:34" ht="29" x14ac:dyDescent="0.35">
      <c r="C27" s="100"/>
      <c r="D27" s="100" t="s">
        <v>1274</v>
      </c>
      <c r="F27" s="100"/>
      <c r="G27" s="100" t="s">
        <v>1275</v>
      </c>
    </row>
    <row r="28" spans="3:34" ht="29" x14ac:dyDescent="0.35">
      <c r="C28" s="100" t="s">
        <v>102</v>
      </c>
      <c r="D28" s="100" t="s">
        <v>1313</v>
      </c>
      <c r="F28" s="100" t="s">
        <v>102</v>
      </c>
      <c r="G28" s="100" t="s">
        <v>1314</v>
      </c>
      <c r="I28" cm="1">
        <f t="array" ref="I28">(_xll.RDP.Data(F28,G27)+_xll.RDP.Data(C28,D27))/2</f>
        <v>2.2359999999999998</v>
      </c>
    </row>
    <row r="30" spans="3:34" ht="29" x14ac:dyDescent="0.35">
      <c r="C30" s="100"/>
      <c r="D30" s="100" t="s">
        <v>1274</v>
      </c>
      <c r="F30" s="100"/>
      <c r="G30" s="100" t="s">
        <v>1275</v>
      </c>
    </row>
    <row r="31" spans="3:34" ht="29" x14ac:dyDescent="0.35">
      <c r="C31" s="100" t="s">
        <v>105</v>
      </c>
      <c r="D31" s="100" t="s">
        <v>1315</v>
      </c>
      <c r="F31" s="100" t="s">
        <v>105</v>
      </c>
      <c r="G31" s="100" t="s">
        <v>1316</v>
      </c>
      <c r="I31" cm="1">
        <f t="array" ref="I31">(_xll.RDP.Data(F31,G30)+_xll.RDP.Data(C31,D30))/2</f>
        <v>2.2530000000000001</v>
      </c>
    </row>
    <row r="42" spans="13:14" x14ac:dyDescent="0.35">
      <c r="M42" s="100"/>
      <c r="N42" s="100"/>
    </row>
    <row r="43" spans="13:14" x14ac:dyDescent="0.35">
      <c r="M43" s="100"/>
      <c r="N43" s="100"/>
    </row>
  </sheetData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74D8F491249D45A41593C23EF41CDD" ma:contentTypeVersion="2" ma:contentTypeDescription="Create a new document." ma:contentTypeScope="" ma:versionID="d39f486e1b4d18e7af0d5c947e70575c">
  <xsd:schema xmlns:xsd="http://www.w3.org/2001/XMLSchema" xmlns:xs="http://www.w3.org/2001/XMLSchema" xmlns:p="http://schemas.microsoft.com/office/2006/metadata/properties" xmlns:ns2="3ca34aa2-623c-429e-9532-aef717334b63" xmlns:ns3="db0ee4f4-63ba-45f1-b84a-e99dc6c4ae74" targetNamespace="http://schemas.microsoft.com/office/2006/metadata/properties" ma:root="true" ma:fieldsID="05ab08006c135e369da4724cedc62b14" ns2:_="" ns3:_="">
    <xsd:import namespace="3ca34aa2-623c-429e-9532-aef717334b63"/>
    <xsd:import namespace="db0ee4f4-63ba-45f1-b84a-e99dc6c4ae74"/>
    <xsd:element name="properties">
      <xsd:complexType>
        <xsd:sequence>
          <xsd:element name="documentManagement">
            <xsd:complexType>
              <xsd:all>
                <xsd:element ref="ns2:_lisam_Description" minOccurs="0"/>
                <xsd:element ref="ns3:_lisam_PublishedVers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a34aa2-623c-429e-9532-aef717334b63" elementFormDefault="qualified">
    <xsd:import namespace="http://schemas.microsoft.com/office/2006/documentManagement/types"/>
    <xsd:import namespace="http://schemas.microsoft.com/office/infopath/2007/PartnerControls"/>
    <xsd:element name="_lisam_Description" ma:index="8" nillable="true" ma:displayName="Beskrivning" ma:internalName="_lisam_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0ee4f4-63ba-45f1-b84a-e99dc6c4ae74" elementFormDefault="qualified">
    <xsd:import namespace="http://schemas.microsoft.com/office/2006/documentManagement/types"/>
    <xsd:import namespace="http://schemas.microsoft.com/office/infopath/2007/PartnerControls"/>
    <xsd:element name="_lisam_PublishedVersion" ma:index="9" nillable="true" ma:displayName="Published Version" ma:internalName="_lisam_PublishedVersion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lisam_Description xmlns="3ca34aa2-623c-429e-9532-aef717334b63" xsi:nil="true"/>
    <_lisam_PublishedVersion xmlns="db0ee4f4-63ba-45f1-b84a-e99dc6c4ae7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FCEA23-9A5E-4C36-9D9C-2EF1FA3B9D5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ca34aa2-623c-429e-9532-aef717334b63"/>
    <ds:schemaRef ds:uri="db0ee4f4-63ba-45f1-b84a-e99dc6c4ae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EB5F64-2398-47CD-8D5B-356935BB47D9}">
  <ds:schemaRefs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terms/"/>
    <ds:schemaRef ds:uri="db0ee4f4-63ba-45f1-b84a-e99dc6c4ae74"/>
    <ds:schemaRef ds:uri="3ca34aa2-623c-429e-9532-aef717334b63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2E5C6A7A-6D49-4199-81A9-37BA9F118D2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main</vt:lpstr>
      <vt:lpstr>realTime</vt:lpstr>
      <vt:lpstr>data</vt:lpstr>
      <vt:lpstr>tables</vt:lpstr>
      <vt:lpstr>bill</vt:lpstr>
      <vt:lpstr>bond</vt:lpstr>
      <vt:lpstr>IRS</vt:lpstr>
      <vt:lpstr>bootstrap</vt:lpstr>
      <vt:lpstr>discountDate</vt:lpstr>
      <vt:lpstr>discountFactor</vt:lpstr>
      <vt:lpstr>discountNextDate</vt:lpstr>
      <vt:lpstr>nextCouponDate</vt:lpstr>
      <vt:lpstr>previousCouponDate</vt:lpstr>
    </vt:vector>
  </TitlesOfParts>
  <Manager/>
  <Company>IEI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Jörgen Blomvall</dc:creator>
  <cp:keywords/>
  <dc:description/>
  <cp:lastModifiedBy>William Eriksson</cp:lastModifiedBy>
  <cp:revision/>
  <dcterms:created xsi:type="dcterms:W3CDTF">2014-11-09T12:36:00Z</dcterms:created>
  <dcterms:modified xsi:type="dcterms:W3CDTF">2025-02-03T14:45:43Z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6ffedc7-8dd7-4346-b906-eaa072ee5258_Enabled">
    <vt:lpwstr>true</vt:lpwstr>
  </property>
  <property fmtid="{D5CDD505-2E9C-101B-9397-08002B2CF9AE}" pid="3" name="MSIP_Label_16ffedc7-8dd7-4346-b906-eaa072ee5258_SetDate">
    <vt:lpwstr>2024-10-18T09:21:35Z</vt:lpwstr>
  </property>
  <property fmtid="{D5CDD505-2E9C-101B-9397-08002B2CF9AE}" pid="4" name="MSIP_Label_16ffedc7-8dd7-4346-b906-eaa072ee5258_Method">
    <vt:lpwstr>Standard</vt:lpwstr>
  </property>
  <property fmtid="{D5CDD505-2E9C-101B-9397-08002B2CF9AE}" pid="5" name="MSIP_Label_16ffedc7-8dd7-4346-b906-eaa072ee5258_Name">
    <vt:lpwstr>Corporate</vt:lpwstr>
  </property>
  <property fmtid="{D5CDD505-2E9C-101B-9397-08002B2CF9AE}" pid="6" name="MSIP_Label_16ffedc7-8dd7-4346-b906-eaa072ee5258_SiteId">
    <vt:lpwstr>287e9f0e-91ec-4cf0-b7a4-c63898072181</vt:lpwstr>
  </property>
  <property fmtid="{D5CDD505-2E9C-101B-9397-08002B2CF9AE}" pid="7" name="MSIP_Label_16ffedc7-8dd7-4346-b906-eaa072ee5258_ActionId">
    <vt:lpwstr>f05a8cab-6fe9-4f1c-86be-0c56669aa269</vt:lpwstr>
  </property>
  <property fmtid="{D5CDD505-2E9C-101B-9397-08002B2CF9AE}" pid="8" name="MSIP_Label_16ffedc7-8dd7-4346-b906-eaa072ee5258_ContentBits">
    <vt:lpwstr>1</vt:lpwstr>
  </property>
  <property fmtid="{D5CDD505-2E9C-101B-9397-08002B2CF9AE}" pid="9" name="ContentTypeId">
    <vt:lpwstr>0x0101009F74D8F491249D45A41593C23EF41CDD</vt:lpwstr>
  </property>
  <property fmtid="{D5CDD505-2E9C-101B-9397-08002B2CF9AE}" pid="10" name="PowerlinkCOMAddIn.COMAddIn.WebAddinBridge.Options">
    <vt:lpwstr>{"port":50152,"version":"1.22.303"}</vt:lpwstr>
  </property>
</Properties>
</file>